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iu\Desktop\出纳软件\"/>
    </mc:Choice>
  </mc:AlternateContent>
  <xr:revisionPtr revIDLastSave="0" documentId="13_ncr:1_{79D3DDA1-3EB0-477B-816D-FB8B8B257CE7}"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Sheet1!$AL$8:$AL$94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3" i="1" l="1"/>
  <c r="AL95" i="1"/>
</calcChain>
</file>

<file path=xl/sharedStrings.xml><?xml version="1.0" encoding="utf-8"?>
<sst xmlns="http://schemas.openxmlformats.org/spreadsheetml/2006/main" count="2284" uniqueCount="657">
  <si>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</si>
  <si>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</si>
  <si>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</si>
  <si>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</si>
  <si>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</si>
  <si>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</si>
  <si>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</si>
  <si>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</si>
  <si>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</si>
  <si>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</si>
  <si>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</si>
  <si>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</si>
  <si>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</si>
  <si>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</si>
  <si>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</si>
  <si>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</si>
  <si>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</si>
  <si>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</si>
  <si>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</si>
  <si>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</si>
  <si>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</si>
  <si>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</si>
  <si>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</si>
  <si>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</si>
  <si>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</si>
  <si>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</si>
  <si>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备注</t>
  </si>
  <si>
    <t>1</t>
  </si>
  <si>
    <t/>
  </si>
  <si>
    <t>26537912570200055449</t>
  </si>
  <si>
    <t>9153000077859986X2</t>
  </si>
  <si>
    <t>云南国道主干线昆明绕城高速公路建设有限公司</t>
  </si>
  <si>
    <t>915300007194052520</t>
  </si>
  <si>
    <t>云南溯源科技有限公司</t>
  </si>
  <si>
    <t>2026-02-28 17:50:54</t>
  </si>
  <si>
    <t>3040502020301000000</t>
  </si>
  <si>
    <t>通行费</t>
  </si>
  <si>
    <t>*经营租赁*通行费</t>
  </si>
  <si>
    <t>3%</t>
  </si>
  <si>
    <t>电子发票服务平台</t>
  </si>
  <si>
    <t>数电发票（通行费发票）</t>
  </si>
  <si>
    <t>正常</t>
  </si>
  <si>
    <t>是</t>
  </si>
  <si>
    <t>赖丝雨</t>
  </si>
  <si>
    <t>2</t>
  </si>
  <si>
    <t>26537912430200039797</t>
  </si>
  <si>
    <t>91530100552708728L</t>
  </si>
  <si>
    <t>云南安晋高速公路开发有限公司</t>
  </si>
  <si>
    <t>张蓉娇</t>
  </si>
  <si>
    <t>3</t>
  </si>
  <si>
    <t>26537911970200072984</t>
  </si>
  <si>
    <t>91530000291993988P</t>
  </si>
  <si>
    <t>云南昆玉高速公路开发有限公司</t>
  </si>
  <si>
    <t>许晶晶</t>
  </si>
  <si>
    <t>4</t>
  </si>
  <si>
    <t>26537911580200081351</t>
  </si>
  <si>
    <t>91530100095367082F</t>
  </si>
  <si>
    <t>昆明东南绕城高速公路开发有限公司</t>
  </si>
  <si>
    <t>周贤</t>
  </si>
  <si>
    <t>5</t>
  </si>
  <si>
    <t>26537911970200066433</t>
  </si>
  <si>
    <t>2026-02-27 16:42:32</t>
  </si>
  <si>
    <t>6</t>
  </si>
  <si>
    <t>26537911970200065319</t>
  </si>
  <si>
    <t>2026-02-27 13:32:00</t>
  </si>
  <si>
    <t>7</t>
  </si>
  <si>
    <t>26532000000297989341</t>
  </si>
  <si>
    <t>92530402MACJ337643</t>
  </si>
  <si>
    <t>红塔区友余宾馆</t>
  </si>
  <si>
    <t>2026-02-27 11:43:32</t>
  </si>
  <si>
    <t>3070402000000000000</t>
  </si>
  <si>
    <t>*住宿服务*住宿服务</t>
  </si>
  <si>
    <t>双床房</t>
  </si>
  <si>
    <t>间次</t>
  </si>
  <si>
    <t>69.3069306930693</t>
  </si>
  <si>
    <t>1%</t>
  </si>
  <si>
    <t>数电发票（普通发票）</t>
  </si>
  <si>
    <t>安雨超</t>
  </si>
  <si>
    <t>收款人:安雨超 复核人:韩昌勇</t>
  </si>
  <si>
    <t>8</t>
  </si>
  <si>
    <t>单人间</t>
  </si>
  <si>
    <t>49.5049504950495</t>
  </si>
  <si>
    <t>9</t>
  </si>
  <si>
    <t>26372000000824247091</t>
  </si>
  <si>
    <t>92371312MACB47QK9W</t>
  </si>
  <si>
    <t>河东区彭文环保设备店</t>
  </si>
  <si>
    <t>2026-02-26 10:11:48</t>
  </si>
  <si>
    <t>1090119030000000000</t>
  </si>
  <si>
    <t>*阀门龙头*电磁阀</t>
  </si>
  <si>
    <t>个</t>
  </si>
  <si>
    <t>297.029702970297</t>
  </si>
  <si>
    <t>张晶</t>
  </si>
  <si>
    <t>10</t>
  </si>
  <si>
    <t>26537911970200055836</t>
  </si>
  <si>
    <t>2026-02-25 12:51:03</t>
  </si>
  <si>
    <t>11</t>
  </si>
  <si>
    <t>26537000000232963884</t>
  </si>
  <si>
    <t>91530000709708479E</t>
  </si>
  <si>
    <t>云南中油严家山交通服务有限公司</t>
  </si>
  <si>
    <t>2026-02-25 12:34:44</t>
  </si>
  <si>
    <t>1070101010100000000</t>
  </si>
  <si>
    <t>成品油发票</t>
  </si>
  <si>
    <t>*汽油*95号 车用汽油(ⅥB)</t>
  </si>
  <si>
    <t>95#汽油</t>
  </si>
  <si>
    <t>升</t>
  </si>
  <si>
    <t>63.23</t>
  </si>
  <si>
    <t>6.85829511308</t>
  </si>
  <si>
    <t>13%</t>
  </si>
  <si>
    <t>刘瀚元</t>
  </si>
  <si>
    <t>收款人:李成忠 复核人:宋应华</t>
  </si>
  <si>
    <t>12</t>
  </si>
  <si>
    <t>13</t>
  </si>
  <si>
    <t>26537000000228699668</t>
  </si>
  <si>
    <t>91530100MAE5B2KE4P</t>
  </si>
  <si>
    <t>京东大药房（昆明）有限公司</t>
  </si>
  <si>
    <t>2026-02-20 19:06:41</t>
  </si>
  <si>
    <t>1070301020000000000</t>
  </si>
  <si>
    <t>*化学药品原药*暖胃舒乐颗粒</t>
  </si>
  <si>
    <t>4克*8袋/盒</t>
  </si>
  <si>
    <t>盒</t>
  </si>
  <si>
    <t>5.00000000</t>
  </si>
  <si>
    <t>22.1240000000000</t>
  </si>
  <si>
    <t>王梅</t>
  </si>
  <si>
    <t xml:space="preserve">订单号:3415243005202175 </t>
  </si>
  <si>
    <t>14</t>
  </si>
  <si>
    <t>15</t>
  </si>
  <si>
    <t>26537912210200386093</t>
  </si>
  <si>
    <t>915300007873997205</t>
  </si>
  <si>
    <t>云南省交通投资建设集团有限公司</t>
  </si>
  <si>
    <t>2026-02-13 18:21:58</t>
  </si>
  <si>
    <t>蒋晓玲</t>
  </si>
  <si>
    <t>16</t>
  </si>
  <si>
    <t>26537912210200383135</t>
  </si>
  <si>
    <t>2026-02-13 17:20:31</t>
  </si>
  <si>
    <t>17</t>
  </si>
  <si>
    <t>26537912210200358018</t>
  </si>
  <si>
    <t>2026-02-12 17:28:50</t>
  </si>
  <si>
    <t>18</t>
  </si>
  <si>
    <t>26532000000243506101</t>
  </si>
  <si>
    <t>91530103MAC4B2XM8G</t>
  </si>
  <si>
    <t>昆明桐源图文广告有限公司</t>
  </si>
  <si>
    <t>2026-02-12 11:25:50</t>
  </si>
  <si>
    <t>3040301030000000000</t>
  </si>
  <si>
    <t>*设计服务*打印费</t>
  </si>
  <si>
    <t>次</t>
  </si>
  <si>
    <t>102.970297029703</t>
  </si>
  <si>
    <t>数电发票（增值税专用发票）</t>
  </si>
  <si>
    <t>郑琴</t>
  </si>
  <si>
    <t>收款人:何春江 复核人:杨欢</t>
  </si>
  <si>
    <t>19</t>
  </si>
  <si>
    <t>26537912210200331814</t>
  </si>
  <si>
    <t>2026-02-11 18:26:49</t>
  </si>
  <si>
    <t>20</t>
  </si>
  <si>
    <t>26537000000230189626</t>
  </si>
  <si>
    <t>915300007194130254</t>
  </si>
  <si>
    <t>中国石化销售股份有限公司云南昆明石油分公司</t>
  </si>
  <si>
    <t>2026-02-11 16:38:38</t>
  </si>
  <si>
    <t>6010000000000000000</t>
  </si>
  <si>
    <t>*预付卡销售*加油IC卡充值款</t>
  </si>
  <si>
    <t>无</t>
  </si>
  <si>
    <t>元</t>
  </si>
  <si>
    <t>3000.00</t>
  </si>
  <si>
    <t>不征税</t>
  </si>
  <si>
    <t>张文霞</t>
  </si>
  <si>
    <t>1000115300011014873</t>
  </si>
  <si>
    <t>21</t>
  </si>
  <si>
    <t>26532000000237171181</t>
  </si>
  <si>
    <t>92532324MAC296HG5K</t>
  </si>
  <si>
    <t>南华县沙桥镇润华清真饭店</t>
  </si>
  <si>
    <t>2026-02-11 13:45:43</t>
  </si>
  <si>
    <t>3070401000000000000</t>
  </si>
  <si>
    <t>*餐饮服务*餐饮服务</t>
  </si>
  <si>
    <t>桌</t>
  </si>
  <si>
    <t>60</t>
  </si>
  <si>
    <t>0.990099009901</t>
  </si>
  <si>
    <t>马利增</t>
  </si>
  <si>
    <t>收款人:马利增 复核人:马瑞华</t>
  </si>
  <si>
    <t>22</t>
  </si>
  <si>
    <t>26537912210200303358</t>
  </si>
  <si>
    <t>2026-02-10 17:50:11</t>
  </si>
  <si>
    <t>23</t>
  </si>
  <si>
    <t>26117000000235840385</t>
  </si>
  <si>
    <t>91110108735575307R</t>
  </si>
  <si>
    <t>北京易行出行旅游有限公司</t>
  </si>
  <si>
    <t>2026-02-10 11:38:07</t>
  </si>
  <si>
    <t>3070301000000000000</t>
  </si>
  <si>
    <t>*旅游服务*代订车服务费</t>
  </si>
  <si>
    <t>1.00</t>
  </si>
  <si>
    <t>6.51</t>
  </si>
  <si>
    <t>6%</t>
  </si>
  <si>
    <t>郭佳</t>
  </si>
  <si>
    <t>24</t>
  </si>
  <si>
    <t>26117000000235840384</t>
  </si>
  <si>
    <t>89.84</t>
  </si>
  <si>
    <t>25</t>
  </si>
  <si>
    <t>26447000000380894707</t>
  </si>
  <si>
    <t>91442000MA57D790X0</t>
  </si>
  <si>
    <t>中山首约科技有限公司</t>
  </si>
  <si>
    <t>2026-02-10 11:08:44</t>
  </si>
  <si>
    <t>3010101020299000000</t>
  </si>
  <si>
    <t>旅客运输服务发票</t>
  </si>
  <si>
    <t>*运输服务*客运服务费</t>
  </si>
  <si>
    <t>62.29126213592233</t>
  </si>
  <si>
    <t>朱旭</t>
  </si>
  <si>
    <t>购方地址:云南省昆明市北市区三竹营金色家园17栋1单元502室	电话:0871-65743865</t>
  </si>
  <si>
    <t>26</t>
  </si>
  <si>
    <t>26532000000227737861</t>
  </si>
  <si>
    <t>91530111MA6KL19X01</t>
  </si>
  <si>
    <t>神州优车（福建）信息技术有限公司昆明分公司</t>
  </si>
  <si>
    <t>2026-02-10 11:08:36</t>
  </si>
  <si>
    <t>3010101020203000000</t>
  </si>
  <si>
    <t>65.05</t>
  </si>
  <si>
    <t>储怀谷</t>
  </si>
  <si>
    <t>27</t>
  </si>
  <si>
    <t>28</t>
  </si>
  <si>
    <t>26532000000228314281</t>
  </si>
  <si>
    <t>2026-02-10 11:08:33</t>
  </si>
  <si>
    <t>29.37</t>
  </si>
  <si>
    <t>29</t>
  </si>
  <si>
    <t>30</t>
  </si>
  <si>
    <t>26537000000229576104</t>
  </si>
  <si>
    <t>91530112799862049E</t>
  </si>
  <si>
    <t>云南天谷科技开发有限公司</t>
  </si>
  <si>
    <t>2026-02-10 11:08:08</t>
  </si>
  <si>
    <t>3010101020101010000</t>
  </si>
  <si>
    <t>134.815533980582524</t>
  </si>
  <si>
    <t>李青遥</t>
  </si>
  <si>
    <t>31</t>
  </si>
  <si>
    <t>32</t>
  </si>
  <si>
    <t>26537000000229576103</t>
  </si>
  <si>
    <t>2026-02-10 11:08:07</t>
  </si>
  <si>
    <t>42.611650485436893</t>
  </si>
  <si>
    <t>33</t>
  </si>
  <si>
    <t>26532000000227737321</t>
  </si>
  <si>
    <t>91530102MA6K62RM60</t>
  </si>
  <si>
    <t>云南悦途科技有限公司</t>
  </si>
  <si>
    <t>2026-02-10 11:07:59</t>
  </si>
  <si>
    <t>33.7184466019417</t>
  </si>
  <si>
    <t>刘小波</t>
  </si>
  <si>
    <t>34</t>
  </si>
  <si>
    <t>35</t>
  </si>
  <si>
    <t>26537000000229576100</t>
  </si>
  <si>
    <t>2026-02-10 11:07:57</t>
  </si>
  <si>
    <t>122.485436893203883</t>
  </si>
  <si>
    <t>36</t>
  </si>
  <si>
    <t>26537000000229576099</t>
  </si>
  <si>
    <t>11.631067961165049</t>
  </si>
  <si>
    <t>37</t>
  </si>
  <si>
    <t>38</t>
  </si>
  <si>
    <t>26537000000229576095</t>
  </si>
  <si>
    <t>235.54368932038835</t>
  </si>
  <si>
    <t>39</t>
  </si>
  <si>
    <t>26347000000066409290</t>
  </si>
  <si>
    <t>91340207MAD5LN9F2T</t>
  </si>
  <si>
    <t>杭州携华网络科技有限公司芜湖江北分公司</t>
  </si>
  <si>
    <t>2026-02-10 11:07:56</t>
  </si>
  <si>
    <t>14.9</t>
  </si>
  <si>
    <t>朱浪博</t>
  </si>
  <si>
    <t>40</t>
  </si>
  <si>
    <t>26342000000423842191</t>
  </si>
  <si>
    <t>91340522MA8PWJ9918</t>
  </si>
  <si>
    <t>威海市兴安达信息技术有限责任公司马鞍山分公司</t>
  </si>
  <si>
    <t>陈璇</t>
  </si>
  <si>
    <t>26327000000318688791</t>
  </si>
  <si>
    <t>91320981MACGRND65F</t>
  </si>
  <si>
    <t>北京假日阳光环球旅行社有限公司东台分公司</t>
  </si>
  <si>
    <t>155.8640776699029</t>
  </si>
  <si>
    <t>臧艳</t>
  </si>
  <si>
    <t>26537000000225573723</t>
  </si>
  <si>
    <t>91530100MA6N61P039</t>
  </si>
  <si>
    <t>昆明利行科技有限公司</t>
  </si>
  <si>
    <t>2026-02-10 11:07:55</t>
  </si>
  <si>
    <t>65.194175</t>
  </si>
  <si>
    <t>姚天一</t>
  </si>
  <si>
    <t>26327000000322310912</t>
  </si>
  <si>
    <t>91320594MA1MFD7F31</t>
  </si>
  <si>
    <t>苏州市吉利优行电子科技有限公司</t>
  </si>
  <si>
    <t>36.810000</t>
  </si>
  <si>
    <t>免税</t>
  </si>
  <si>
    <t>孔炜</t>
  </si>
  <si>
    <t>26537000000226507446</t>
  </si>
  <si>
    <t>91530121MA6N3KEW02</t>
  </si>
  <si>
    <t>昆明盛智易联科技有限公司</t>
  </si>
  <si>
    <t>2026-02-10 11:07:51</t>
  </si>
  <si>
    <t>134.89</t>
  </si>
  <si>
    <t>杨艳彩</t>
  </si>
  <si>
    <t>收款人:赵晓扬 复核人:王珊珊</t>
  </si>
  <si>
    <t>26377000000187809508</t>
  </si>
  <si>
    <t>91370303MA3HJKH04J</t>
  </si>
  <si>
    <t>山东及时雨汽车科技有限公司</t>
  </si>
  <si>
    <t>44.87000000</t>
  </si>
  <si>
    <t>陈珊珊</t>
  </si>
  <si>
    <t>26127000000089218665</t>
  </si>
  <si>
    <t>91120106MACB2BWC1M</t>
  </si>
  <si>
    <t>天津鞍马出行科技有限公司</t>
  </si>
  <si>
    <t>19.98</t>
  </si>
  <si>
    <t>刘薇</t>
  </si>
  <si>
    <t>26127000000089218664</t>
  </si>
  <si>
    <t>13.61</t>
  </si>
  <si>
    <t>26537000000226507445</t>
  </si>
  <si>
    <t>2026-02-10 11:07:43</t>
  </si>
  <si>
    <t>23.99</t>
  </si>
  <si>
    <t>26327000000316935016</t>
  </si>
  <si>
    <t>91320981MAEBB5QA34</t>
  </si>
  <si>
    <t>昆明盛智易联科技有限公司东台分公司</t>
  </si>
  <si>
    <t>5.58</t>
  </si>
  <si>
    <t>徐川页</t>
  </si>
  <si>
    <t>收款人:赵晓扬 复核人:郑志明</t>
  </si>
  <si>
    <t>26532000000227397226</t>
  </si>
  <si>
    <t>92530402MADJ66MH67</t>
  </si>
  <si>
    <t>红塔区佳来工程管理服务部（个体工商户）</t>
  </si>
  <si>
    <t>2026-02-10 10:56:15</t>
  </si>
  <si>
    <t>2020000000000000000</t>
  </si>
  <si>
    <t>*劳务*劳务费</t>
  </si>
  <si>
    <t>邹丽荣</t>
  </si>
  <si>
    <t>26332000001205831131</t>
  </si>
  <si>
    <t>91330102MACK1JHA4M</t>
  </si>
  <si>
    <t>杭州智照家科技有限公司</t>
  </si>
  <si>
    <t>2026-02-10 08:43:52</t>
  </si>
  <si>
    <t>1090424010000000000</t>
  </si>
  <si>
    <t>*照明装置*雷士照明led灯泡家用超亮节能e27大螺口吊灯光源E14大功率球泡灯</t>
  </si>
  <si>
    <t>3瓦 6500K白光【E27螺口】,其它 其它</t>
  </si>
  <si>
    <t>3.161</t>
  </si>
  <si>
    <t>张臻</t>
  </si>
  <si>
    <t>购买时间:2024-10-29 14:50:32</t>
  </si>
  <si>
    <t>26332000001180651981</t>
  </si>
  <si>
    <t>92330784MA7BUK8F10</t>
  </si>
  <si>
    <t>永康市夕桐电子商务商行</t>
  </si>
  <si>
    <t>2026-02-09 12:00:48</t>
  </si>
  <si>
    <t>1090407010000000000</t>
  </si>
  <si>
    <t>*配电控制设备*断路器</t>
  </si>
  <si>
    <t>只</t>
  </si>
  <si>
    <t>成滢滢</t>
  </si>
  <si>
    <t>26332000001175198776</t>
  </si>
  <si>
    <t>2026-02-09 12:00:16</t>
  </si>
  <si>
    <t>-1</t>
  </si>
  <si>
    <t>0%</t>
  </si>
  <si>
    <t>否</t>
  </si>
  <si>
    <t>被红冲蓝字数电发票号码：26332000001177307071 红字发票信息确认单编号：33078426021005665930</t>
  </si>
  <si>
    <t>26332000001177307071</t>
  </si>
  <si>
    <t>2026-02-09 11:34:08</t>
  </si>
  <si>
    <t>已红冲-全额</t>
  </si>
  <si>
    <t>26332000001169379466</t>
  </si>
  <si>
    <t>91330324MAEKY6Q67Y</t>
  </si>
  <si>
    <t>名物（温州）网络科技有限公司</t>
  </si>
  <si>
    <t>2026-02-09 09:38:00</t>
  </si>
  <si>
    <t>1040204010000000000</t>
  </si>
  <si>
    <t>*鞋*奥康男鞋新款真皮商务正装办公职场工作系带舒适软底高档男士皮鞋</t>
  </si>
  <si>
    <t>黑,38</t>
  </si>
  <si>
    <t>116.93</t>
  </si>
  <si>
    <t>郑巨枫</t>
  </si>
  <si>
    <t>购买时间:2024-11-04 12:42:08</t>
  </si>
  <si>
    <t>26122000000166302301</t>
  </si>
  <si>
    <t>92120104MA07CHPA6T</t>
  </si>
  <si>
    <t>天津市南开区奥诺五金机电经营部</t>
  </si>
  <si>
    <t>2026-02-08 17:24:26</t>
  </si>
  <si>
    <t>1080499000000000000</t>
  </si>
  <si>
    <t>*金属制品*接头</t>
  </si>
  <si>
    <t>37.3415841584158</t>
  </si>
  <si>
    <t>张令娟</t>
  </si>
  <si>
    <t>39.2178217821782</t>
  </si>
  <si>
    <t>26537912210200238550</t>
  </si>
  <si>
    <t>2026-02-08 16:43:36</t>
  </si>
  <si>
    <t>26537912210200236660</t>
  </si>
  <si>
    <t>2026-02-08 16:14:47</t>
  </si>
  <si>
    <t>26537912210200210225</t>
  </si>
  <si>
    <t>2026-02-07 16:01:15</t>
  </si>
  <si>
    <t>26537911600200015030</t>
  </si>
  <si>
    <t>91530000098399346U</t>
  </si>
  <si>
    <t>云南云路红石公路投资有限公司</t>
  </si>
  <si>
    <t>钱德松</t>
  </si>
  <si>
    <t>26532000000204540541</t>
  </si>
  <si>
    <t>92532504MAC0FLXC6G</t>
  </si>
  <si>
    <t>弥勒市伊悦园餐饮店</t>
  </si>
  <si>
    <t>2026-02-06 08:18:54</t>
  </si>
  <si>
    <t>*餐饮服务*餐费</t>
  </si>
  <si>
    <t>0.374</t>
  </si>
  <si>
    <t>383.861915603325</t>
  </si>
  <si>
    <t>马冲成</t>
  </si>
  <si>
    <t>26537912210200148344</t>
  </si>
  <si>
    <t>2026-02-05 16:41:40</t>
  </si>
  <si>
    <t>26537912210200146947</t>
  </si>
  <si>
    <t>2026-02-05 16:20:53</t>
  </si>
  <si>
    <t>26537912210200143464</t>
  </si>
  <si>
    <t>2026-02-05 15:26:36</t>
  </si>
  <si>
    <t>26537911600200011064</t>
  </si>
  <si>
    <t>26532000000202201906</t>
  </si>
  <si>
    <t>91530102MABXHLT60K</t>
  </si>
  <si>
    <t>昆明丰达机动车安全检测有限公司</t>
  </si>
  <si>
    <t>2026-02-05 15:24:50</t>
  </si>
  <si>
    <t>3040602990000000000</t>
  </si>
  <si>
    <t>*鉴证咨询服务*检测费</t>
  </si>
  <si>
    <t>辆</t>
  </si>
  <si>
    <t>文全</t>
  </si>
  <si>
    <t>26532000000197397871</t>
  </si>
  <si>
    <t>915301033096795416</t>
  </si>
  <si>
    <t>昆明奥宝汽车维修有限责任公司</t>
  </si>
  <si>
    <t>2026-02-05 09:16:05</t>
  </si>
  <si>
    <t>*劳务*维修费</t>
  </si>
  <si>
    <t>王维</t>
  </si>
  <si>
    <t>26537912210200118203</t>
  </si>
  <si>
    <t>2026-02-04 17:34:18</t>
  </si>
  <si>
    <t>26332000001043920966</t>
  </si>
  <si>
    <t>92330421MAD48LAC7A</t>
  </si>
  <si>
    <t>嘉善县浦嘉机电设备经营部（个体工商户）</t>
  </si>
  <si>
    <t>2026-02-04 17:11:57</t>
  </si>
  <si>
    <t>1090120010000000000</t>
  </si>
  <si>
    <t>*液压元件*电磁阀</t>
  </si>
  <si>
    <t>165.346534653465</t>
  </si>
  <si>
    <t>陈清霞</t>
  </si>
  <si>
    <t>26539148631000016633</t>
  </si>
  <si>
    <t>915300002165678829</t>
  </si>
  <si>
    <t>云南铁路发展有限公司</t>
  </si>
  <si>
    <t>2026-02-04 15:29:42</t>
  </si>
  <si>
    <t>3010101010100000000</t>
  </si>
  <si>
    <t>铁路电子客票</t>
  </si>
  <si>
    <t>*运输服务*票价</t>
  </si>
  <si>
    <t>9%</t>
  </si>
  <si>
    <t>数电发票（铁路电子客票）</t>
  </si>
  <si>
    <t>铁路12306科创中心</t>
  </si>
  <si>
    <t>26322000000995336131</t>
  </si>
  <si>
    <t>91320191MA1XM5TX71</t>
  </si>
  <si>
    <t>中科视拓（南京）科技有限公司</t>
  </si>
  <si>
    <t>2026-02-04 15:22:41</t>
  </si>
  <si>
    <t>3040203000000000000</t>
  </si>
  <si>
    <t>*信息系统服务*云服务费</t>
  </si>
  <si>
    <t>项</t>
  </si>
  <si>
    <t>471.698113207547</t>
  </si>
  <si>
    <t>卢朦</t>
  </si>
  <si>
    <t>26532000000192667891</t>
  </si>
  <si>
    <t>91530111MA6K3N5FXR</t>
  </si>
  <si>
    <t>云南东郡机动车安全检测有限公司</t>
  </si>
  <si>
    <t>2026-02-04 14:51:33</t>
  </si>
  <si>
    <t>3040601000000000000</t>
  </si>
  <si>
    <t>*鉴证咨询服务*机动车检测费</t>
  </si>
  <si>
    <t>芶树花</t>
  </si>
  <si>
    <t>云A546NH</t>
  </si>
  <si>
    <t>26534000000002068291</t>
  </si>
  <si>
    <t>91530103MA6N0E7H0H</t>
  </si>
  <si>
    <t>云南邦臣科技有限公司</t>
  </si>
  <si>
    <t>2026-02-04 14:35:41</t>
  </si>
  <si>
    <t>*信息系统服务*信息技术服务费</t>
  </si>
  <si>
    <t>50538.4059405941</t>
  </si>
  <si>
    <t>柏煜風</t>
  </si>
  <si>
    <t>被红冲蓝字数电发票号码：26534000000014399086 红字发票信息确认单编号：53010326021013619373</t>
  </si>
  <si>
    <t>26534000000015147931</t>
  </si>
  <si>
    <t>2026-02-04 14:33:43</t>
  </si>
  <si>
    <t>49557.0776699029</t>
  </si>
  <si>
    <t>26534000000014399086</t>
  </si>
  <si>
    <t>2026-02-04 14:32:51</t>
  </si>
  <si>
    <t>26537912330200000528</t>
  </si>
  <si>
    <t>91532324MA7D2EF577</t>
  </si>
  <si>
    <t>云南南姚高速公路建设有限公司</t>
  </si>
  <si>
    <t>2026-02-03 16:00:44</t>
  </si>
  <si>
    <t>王柯潼</t>
  </si>
  <si>
    <t>26537912210200083751</t>
  </si>
  <si>
    <t>26537000000225164459</t>
  </si>
  <si>
    <t>91530100MA6KA83X19</t>
  </si>
  <si>
    <t>昆明智慧通有限公司</t>
  </si>
  <si>
    <t>2026-02-02 17:38:59</t>
  </si>
  <si>
    <t>3040502019900000000</t>
  </si>
  <si>
    <t>*经营租赁*租赁服务</t>
  </si>
  <si>
    <t>龚晓星</t>
  </si>
  <si>
    <t>收款人:张熏匀 复核人:张情</t>
  </si>
  <si>
    <t>26537912210200049868</t>
  </si>
  <si>
    <t>2026-02-02 16:20:54</t>
  </si>
  <si>
    <t>26537912600200000502</t>
  </si>
  <si>
    <t>91530000MA6K765A4F</t>
  </si>
  <si>
    <t>云南昆楚高速公路投资开发有限公司</t>
  </si>
  <si>
    <t>2026-02-01 16:04:15</t>
  </si>
  <si>
    <t>余艳林</t>
  </si>
  <si>
    <t>26537912090200000141</t>
  </si>
  <si>
    <t>91532300MA6K8AHG6W</t>
  </si>
  <si>
    <t>云南楚姚高速公路有限公司</t>
  </si>
  <si>
    <t>何伟豪</t>
  </si>
  <si>
    <t>26537910570200000889</t>
  </si>
  <si>
    <t>91532900MA6K872W34</t>
  </si>
  <si>
    <t>云南楚大高速公路投资开发有限公司</t>
  </si>
  <si>
    <t>张雯丽</t>
  </si>
  <si>
    <t>26537911970200000137</t>
  </si>
  <si>
    <t>2026-02-01 01:06:06</t>
  </si>
  <si>
    <t>✔</t>
    <phoneticPr fontId="1" type="noConversion"/>
  </si>
  <si>
    <t>已勾选进项税款合计</t>
    <phoneticPr fontId="1" type="noConversion"/>
  </si>
  <si>
    <t>进项票认证计划</t>
    <phoneticPr fontId="1" type="noConversion"/>
  </si>
  <si>
    <t>导入销项票开票情况</t>
    <phoneticPr fontId="1" type="noConversion"/>
  </si>
  <si>
    <t>26532000000395086336</t>
  </si>
  <si>
    <t>915300002165444100</t>
  </si>
  <si>
    <t>云南鸿云锅炉有限责任公司</t>
  </si>
  <si>
    <t>2026-03-16 16:04:58</t>
  </si>
  <si>
    <t>1090601020000000000</t>
  </si>
  <si>
    <t>*工业自动控制仪表系统*空调及热回收控制系统</t>
  </si>
  <si>
    <t>套</t>
  </si>
  <si>
    <t>200700</t>
  </si>
  <si>
    <t>刘际涛</t>
  </si>
  <si>
    <t>收款人:刘涵静 复核人:杨丽萍</t>
  </si>
  <si>
    <t>26532000000394939516</t>
  </si>
  <si>
    <t>2026-03-16 16:01:55</t>
  </si>
  <si>
    <t>*工业自动控制仪表系统*热回收风冷热泵控制系统</t>
  </si>
  <si>
    <t>209700</t>
  </si>
  <si>
    <t>26532000000395653486</t>
  </si>
  <si>
    <t>2026-03-16 15:54:14</t>
  </si>
  <si>
    <t>3050200000000000000</t>
  </si>
  <si>
    <t>建筑服务发票</t>
  </si>
  <si>
    <t>*建筑服务*安装服务费</t>
  </si>
  <si>
    <t>189860</t>
  </si>
  <si>
    <t>土地增值税项目编号: 跨地（市）标志:否 收款人:刘涵静 复核人:杨丽萍</t>
  </si>
  <si>
    <t>26532000000395506981</t>
  </si>
  <si>
    <t>2026-03-16 15:51:28</t>
  </si>
  <si>
    <t>3040201030000000000</t>
  </si>
  <si>
    <t>*软件维护服务*热回收热泵安装调试</t>
  </si>
  <si>
    <t>150300</t>
  </si>
  <si>
    <t>项目名称：抚仙湖国际养生园一期项目抚仙湖国际养生园一期项目热回收热泵安装调试工程 收款人:刘涵静 复核人:杨丽萍</t>
  </si>
  <si>
    <t>26532000000395753746</t>
  </si>
  <si>
    <t>915323266979782784</t>
  </si>
  <si>
    <t>大姚仕华绿色产业开发有限公司</t>
  </si>
  <si>
    <t>2026-03-16 15:18:04</t>
  </si>
  <si>
    <t>*工业自动控制仪表系统*养鸡场冷库压缩机废热利用项目</t>
  </si>
  <si>
    <t>180000</t>
  </si>
  <si>
    <t>项目名称：养鸡场冷库压缩机废热利用项目 收款人:刘涵静 复核人:杨丽萍</t>
  </si>
  <si>
    <t>26532000000345429586</t>
  </si>
  <si>
    <t>91530100753556169R</t>
  </si>
  <si>
    <t>昆明海阔科技有限公司</t>
  </si>
  <si>
    <t>2026-03-06 17:14:45</t>
  </si>
  <si>
    <t>1090601010000000000</t>
  </si>
  <si>
    <t>*工业自动控制仪表系统*能源计量仪表、数采通信设备采购及安装调试项目</t>
  </si>
  <si>
    <t>0.2</t>
  </si>
  <si>
    <t>1454260.7964601769912</t>
  </si>
  <si>
    <t>红河烟叶复烤有限公司打叶复烤易地技术改造项目复烤生产运行系统集成能源管理子系统; 收款人:刘涵静 复核人:杨丽萍</t>
  </si>
  <si>
    <t>26532000000192109516</t>
  </si>
  <si>
    <t>91110106102126771H</t>
  </si>
  <si>
    <t>北京长征高科技有限公司</t>
  </si>
  <si>
    <t>2026-02-04 11:10:05</t>
  </si>
  <si>
    <t>1090407030000000000</t>
  </si>
  <si>
    <t>*配电控制设备*插拔式接线端子组件</t>
  </si>
  <si>
    <t>371.6814159292035</t>
  </si>
  <si>
    <t>合同编号：WXY-2025109 收款人:刘涵静 复核人:杨丽萍</t>
  </si>
  <si>
    <t>26532000000191009761</t>
  </si>
  <si>
    <t>2026-02-04 09:46:11</t>
  </si>
  <si>
    <t>*工业自动控制仪表系统*石林复烤厂整体技术改造项目—能源管理项目</t>
  </si>
  <si>
    <t>0.17</t>
  </si>
  <si>
    <t>672621.0796460176991</t>
  </si>
  <si>
    <t>合同号：WXYJ-2025069 收款人:刘涵静 复核人:杨丽萍</t>
  </si>
  <si>
    <t>26532000000191574121</t>
  </si>
  <si>
    <t>2026-02-04 09:43:00</t>
  </si>
  <si>
    <t>0.13</t>
  </si>
  <si>
    <t>26532000000068228281</t>
  </si>
  <si>
    <t>9153040021766326X9</t>
  </si>
  <si>
    <t>红塔烟草（集团）有限责任公司</t>
  </si>
  <si>
    <t>2026-01-15 10:21:43</t>
  </si>
  <si>
    <t>*软件维护服务*系统维护服务费</t>
  </si>
  <si>
    <t>92500</t>
  </si>
  <si>
    <t>项目名称：2024-2026年度红塔集团工作证管理系统维护项目
合同编号：2025536000360042 收款人:刘涵静 复核人:杨丽萍</t>
  </si>
  <si>
    <t>26532000000066924106</t>
  </si>
  <si>
    <t>2026-01-15 10:18:23</t>
  </si>
  <si>
    <t>被红冲蓝字数电发票号码：26532000000029913826 红字发票信息确认单编号：53010326011058413137 收款人:刘涵静 复核人:杨丽萍</t>
  </si>
  <si>
    <t>26532000000029913826</t>
  </si>
  <si>
    <t>2026-01-07 16:25:42</t>
  </si>
  <si>
    <t>项目名称：2024-2026年度红塔集团工作证管理系统维护项目
合同编号：2024536000360011 收款人:刘涵静 复核人:杨丽萍</t>
  </si>
  <si>
    <t>本月销项税额合计</t>
    <phoneticPr fontId="1" type="noConversion"/>
  </si>
  <si>
    <t>纳税人识别号</t>
  </si>
  <si>
    <t>税款所属期</t>
  </si>
  <si>
    <t>202602</t>
  </si>
  <si>
    <t>纳税人名称</t>
  </si>
  <si>
    <t>勾选状态</t>
  </si>
  <si>
    <t>转内销证明编号</t>
  </si>
  <si>
    <t>销售方纳税人识别号</t>
  </si>
  <si>
    <t>销售方纳税人名称</t>
  </si>
  <si>
    <t>有效抵扣税额</t>
  </si>
  <si>
    <t>票种</t>
  </si>
  <si>
    <t>票种标签</t>
  </si>
  <si>
    <t>勾选时间</t>
  </si>
  <si>
    <t>已勾选</t>
  </si>
  <si>
    <t>25532000000173011182</t>
  </si>
  <si>
    <t>255320000001</t>
  </si>
  <si>
    <t>73011182</t>
  </si>
  <si>
    <t>91530115MABNM4RL2N</t>
  </si>
  <si>
    <t>云南春城财富物业服务有限公司晋宁古滇一分公司</t>
  </si>
  <si>
    <t>数电发票(增值税专用发票)</t>
  </si>
  <si>
    <t>增值税专用发票</t>
  </si>
  <si>
    <t>25532000000180084011</t>
  </si>
  <si>
    <t>80084011</t>
  </si>
  <si>
    <t>915301035631741192</t>
  </si>
  <si>
    <t>云南神州天宇物业服务有限公司</t>
  </si>
  <si>
    <t>263220000009</t>
  </si>
  <si>
    <t>95336131</t>
  </si>
  <si>
    <t>26332000000720390631</t>
  </si>
  <si>
    <t>263320000007</t>
  </si>
  <si>
    <t>20390631</t>
  </si>
  <si>
    <t>91330382MADFCEFY10</t>
  </si>
  <si>
    <t>乐清市亚逊电气有限公司</t>
  </si>
  <si>
    <t>26532000000021026521</t>
  </si>
  <si>
    <t>265320000000</t>
  </si>
  <si>
    <t>21026521</t>
  </si>
  <si>
    <t>91530103MA6KHJWK8C</t>
  </si>
  <si>
    <t>云南城建物业运营集团有限公司盘龙区分公司</t>
  </si>
  <si>
    <t>26532000000107563426</t>
  </si>
  <si>
    <t>265320000001</t>
  </si>
  <si>
    <t>07563426</t>
  </si>
  <si>
    <t>91530103MA6N81J73Y</t>
  </si>
  <si>
    <t>云南恒昆机电设备有限公司</t>
  </si>
  <si>
    <t>92667891</t>
  </si>
  <si>
    <t>97397871</t>
  </si>
  <si>
    <t>265320000002</t>
  </si>
  <si>
    <t>43506101</t>
  </si>
  <si>
    <t>265340000000</t>
  </si>
  <si>
    <t>15147931</t>
  </si>
  <si>
    <t>265379105702</t>
  </si>
  <si>
    <t>00000889</t>
  </si>
  <si>
    <t>普通发票</t>
  </si>
  <si>
    <t>265379115802</t>
  </si>
  <si>
    <t>00081351</t>
  </si>
  <si>
    <t>265379116002</t>
  </si>
  <si>
    <t>00011064</t>
  </si>
  <si>
    <t>00015030</t>
  </si>
  <si>
    <t>265379119702</t>
  </si>
  <si>
    <t>00000137</t>
  </si>
  <si>
    <t>00055836</t>
  </si>
  <si>
    <t>00065319</t>
  </si>
  <si>
    <t>00066433</t>
  </si>
  <si>
    <t>00072984</t>
  </si>
  <si>
    <t>265379120902</t>
  </si>
  <si>
    <t>00000141</t>
  </si>
  <si>
    <t>265379122102</t>
  </si>
  <si>
    <t>00049868</t>
  </si>
  <si>
    <t>00083751</t>
  </si>
  <si>
    <t>00118203</t>
  </si>
  <si>
    <t>00143464</t>
  </si>
  <si>
    <t>00146947</t>
  </si>
  <si>
    <t>00148344</t>
  </si>
  <si>
    <t>00210225</t>
  </si>
  <si>
    <t>00236660</t>
  </si>
  <si>
    <t>00238550</t>
  </si>
  <si>
    <t>00303358</t>
  </si>
  <si>
    <t>00331814</t>
  </si>
  <si>
    <t>00358018</t>
  </si>
  <si>
    <t>00383135</t>
  </si>
  <si>
    <t>00386093</t>
  </si>
  <si>
    <t>265379123302</t>
  </si>
  <si>
    <t>00000528</t>
  </si>
  <si>
    <t>265379124302</t>
  </si>
  <si>
    <t>00039797</t>
  </si>
  <si>
    <t>265379125702</t>
  </si>
  <si>
    <t>00055449</t>
  </si>
  <si>
    <t>265379126002</t>
  </si>
  <si>
    <t>00000502</t>
  </si>
  <si>
    <t>265391486310</t>
  </si>
  <si>
    <t>00016633</t>
  </si>
  <si>
    <t>数电发票(铁路电子客票)</t>
  </si>
  <si>
    <t>合计</t>
  </si>
  <si>
    <t>数电发票（通行费发票）</t>
    <phoneticPr fontId="1" type="noConversion"/>
  </si>
  <si>
    <t>实际认证情况导入</t>
    <phoneticPr fontId="1" type="noConversion"/>
  </si>
  <si>
    <t>自动与发票匹配</t>
    <phoneticPr fontId="1" type="noConversion"/>
  </si>
  <si>
    <r>
      <rPr>
        <sz val="11"/>
        <rFont val="等线"/>
        <family val="2"/>
      </rPr>
      <t>已认证</t>
    </r>
    <phoneticPr fontId="1" type="noConversion"/>
  </si>
  <si>
    <t>普票变灰隐藏显示通行费发票\专票\铁路默认全选</t>
    <phoneticPr fontId="1" type="noConversion"/>
  </si>
  <si>
    <t>未认证</t>
    <phoneticPr fontId="1" type="noConversion"/>
  </si>
  <si>
    <t>数电发票号码</t>
    <phoneticPr fontId="1" type="noConversion"/>
  </si>
  <si>
    <t>认证状态，导入实际认证后匹配数电发票号码赋予状态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</si>
</sst>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7">
    <font>
      <sz val="11"/>
      <color theme="1"/>
      <name val="等线"/>
      <family val="2"/>
      <scheme val="minor"/>
    </font>
    <font>
      <sz val="9"/>
      <name val="等线"/>
      <family val="3"/>
      <charset val="134"/>
      <scheme val="minor"/>
    </font>
    <font>
      <b/>
      <sz val="14"/>
      <name val="宋体"/>
      <family val="3"/>
      <charset val="134"/>
    </font>
    <font>
      <sz val="11"/>
      <name val="Calibri"/>
      <family val="2"/>
    </font>
    <font>
      <sz val="11"/>
      <color theme="1"/>
      <name val="Segoe UI Symbol"/>
      <family val="2"/>
    </font>
    <font>
      <sz val="11"/>
      <name val="微软雅黑"/>
      <family val="2"/>
      <charset val="134"/>
    </font>
    <font>
      <sz val="11"/>
      <name val="等线"/>
      <family val="2"/>
    </font>
  </fonts>
  <fills count="5">
    <fill>
      <patternFill patternType="none"/>
    </fill>
    <fill>
      <patternFill patternType="gray125"/>
    </fill>
    <fill>
      <patternFill patternType="solid">
        <fgColor indexed="22"/>
      </patternFill>
    </fill>
    <fill>
      <patternFill patternType="solid">
        <fgColor theme="9" tint="0.79998168889431442"/>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center" vertical="center" wrapText="1"/>
    </xf>
    <xf numFmtId="0" fontId="3" fillId="0" borderId="0" xfId="0" applyFont="1" applyAlignment="1">
      <alignment horizontal="left"/>
    </xf>
    <xf numFmtId="0" fontId="2" fillId="3" borderId="1" xfId="0" applyFont="1" applyFill="1" applyBorder="1" applyAlignment="1">
      <alignment horizontal="center" vertical="center" wrapText="1"/>
    </xf>
    <xf numFmtId="0" fontId="3" fillId="3" borderId="0" xfId="0" applyFont="1" applyFill="1" applyAlignment="1">
      <alignment horizontal="left"/>
    </xf>
    <xf numFmtId="0" fontId="0" fillId="3" borderId="0" xfId="0" applyFill="1"/>
    <xf numFmtId="0" fontId="2" fillId="2" borderId="2" xfId="0" applyFont="1" applyFill="1" applyBorder="1" applyAlignment="1">
      <alignment horizontal="center" vertical="center" wrapText="1"/>
    </xf>
    <xf numFmtId="0" fontId="4" fillId="0" borderId="0" xfId="0" applyFont="1"/>
    <xf numFmtId="0" fontId="0" fillId="4" borderId="0" xfId="0" applyFill="1"/>
    <xf numFmtId="0" fontId="2" fillId="4" borderId="1" xfId="0" applyFont="1" applyFill="1" applyBorder="1" applyAlignment="1">
      <alignment horizontal="center" vertical="center" wrapText="1"/>
    </xf>
    <xf numFmtId="0" fontId="3" fillId="4" borderId="0" xfId="0" applyFont="1" applyFill="1" applyAlignment="1">
      <alignment horizontal="left"/>
    </xf>
    <xf numFmtId="0" fontId="0" fillId="4" borderId="0" xfId="0" applyFill="1" applyAlignment="1">
      <alignment horizontal="center"/>
    </xf>
    <xf numFmtId="0" fontId="0" fillId="0" borderId="0" xfId="0" applyAlignment="1">
      <alignment vertical="center"/>
    </xf>
    <xf numFmtId="0" fontId="3" fillId="0" borderId="0" xfId="0" applyFont="1"/>
    <xf numFmtId="176" fontId="3" fillId="0" borderId="0" xfId="0" applyNumberFormat="1" applyFont="1"/>
    <xf numFmtId="0" fontId="5" fillId="3" borderId="0" xfId="0" applyFont="1" applyFill="1" applyAlignment="1">
      <alignment horizontal="left"/>
    </xf>
    <xf numFmtId="0" fontId="2" fillId="4" borderId="2"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M95"/>
  <sheetViews>
    <sheetView tabSelected="1" topLeftCell="AL7" workbookViewId="0">
      <selection activeCell="BF10" sqref="BF10"/>
    </sheetView>
  </sheetViews>
  <sheetFormatPr defaultRowHeight="13.9"/>
  <cols>
    <col min="1" max="1" width="9.06640625" style="8"/>
    <col min="2" max="4" width="0" hidden="1" customWidth="1"/>
    <col min="5" max="5" width="14.19921875" style="8" customWidth="1"/>
    <col min="6" max="8" width="0" hidden="1" customWidth="1"/>
    <col min="9" max="9" width="9.06640625" style="8"/>
    <col min="10" max="14" width="0" hidden="1" customWidth="1"/>
    <col min="15" max="17" width="9.06640625" style="8"/>
    <col min="20" max="20" width="9.06640625" style="5"/>
    <col min="21" max="21" width="0" hidden="1" customWidth="1"/>
    <col min="22" max="22" width="9.06640625" style="5"/>
    <col min="23" max="27" width="0" hidden="1" customWidth="1"/>
    <col min="28" max="28" width="9.06640625" style="5"/>
    <col min="29" max="33" width="0" hidden="1" customWidth="1"/>
    <col min="34" max="36" width="9.06640625" style="5"/>
    <col min="37" max="37" width="17.33203125" hidden="1" customWidth="1"/>
    <col min="38" max="38" width="24.06640625" style="5" customWidth="1"/>
    <col min="39" max="43" width="0" hidden="1" customWidth="1"/>
    <col min="45" max="46" width="0" hidden="1" customWidth="1"/>
    <col min="49" max="51" width="0" hidden="1" customWidth="1"/>
    <col min="53" max="56" width="0" hidden="1" customWidth="1"/>
    <col min="57" max="57" width="22.3984375" customWidth="1"/>
    <col min="61" max="61" width="0" hidden="1" customWidth="1"/>
    <col min="62" max="62" width="18.73046875" customWidth="1"/>
    <col min="64" max="65" width="13.33203125" customWidth="1"/>
  </cols>
  <sheetData>
    <row r="6" spans="1:65">
      <c r="AV6" s="8" t="s">
        <v>650</v>
      </c>
      <c r="AW6" t="s">
        <v>651</v>
      </c>
    </row>
    <row r="7" spans="1:65">
      <c r="A7" s="8" t="s">
        <v>484</v>
      </c>
      <c r="T7" s="5" t="s">
        <v>483</v>
      </c>
      <c r="AV7" s="12" t="s">
        <v>559</v>
      </c>
      <c r="AW7" s="12" t="s">
        <v>32</v>
      </c>
      <c r="AX7" s="12"/>
      <c r="AY7" s="12"/>
      <c r="AZ7" s="12" t="s">
        <v>560</v>
      </c>
      <c r="BA7" s="12" t="s">
        <v>561</v>
      </c>
      <c r="BB7" s="12"/>
      <c r="BC7" s="12" t="s">
        <v>562</v>
      </c>
      <c r="BD7" s="12" t="s">
        <v>33</v>
      </c>
      <c r="BE7" s="12"/>
      <c r="BF7" s="12"/>
      <c r="BG7" s="12"/>
      <c r="BH7" s="12"/>
      <c r="BI7" s="12"/>
      <c r="BJ7" s="12"/>
      <c r="BK7" s="12"/>
      <c r="BL7" s="12"/>
      <c r="BM7" s="12"/>
    </row>
    <row r="8" spans="1:65" ht="141">
      <c r="A8" s="9" t="s">
        <v>3</v>
      </c>
      <c r="B8" s="1" t="s">
        <v>4</v>
      </c>
      <c r="C8" s="1" t="s">
        <v>5</v>
      </c>
      <c r="D8" s="1" t="s">
        <v>6</v>
      </c>
      <c r="E8" s="9" t="s">
        <v>7</v>
      </c>
      <c r="F8" s="1" t="s">
        <v>8</v>
      </c>
      <c r="G8" s="1" t="s">
        <v>9</v>
      </c>
      <c r="H8" s="1" t="s">
        <v>10</v>
      </c>
      <c r="I8" s="9" t="s">
        <v>11</v>
      </c>
      <c r="J8" s="1" t="s">
        <v>12</v>
      </c>
      <c r="K8" s="1" t="s">
        <v>13</v>
      </c>
      <c r="L8" s="1" t="s">
        <v>14</v>
      </c>
      <c r="M8" s="1" t="s">
        <v>15</v>
      </c>
      <c r="N8" s="1" t="s">
        <v>16</v>
      </c>
      <c r="O8" s="9" t="s">
        <v>17</v>
      </c>
      <c r="P8" s="9" t="s">
        <v>18</v>
      </c>
      <c r="Q8" s="9" t="s">
        <v>19</v>
      </c>
      <c r="R8" s="1"/>
      <c r="S8" s="1"/>
      <c r="T8" s="3" t="s">
        <v>3</v>
      </c>
      <c r="U8" s="1" t="s">
        <v>4</v>
      </c>
      <c r="V8" s="3" t="s">
        <v>5</v>
      </c>
      <c r="W8" s="1" t="s">
        <v>6</v>
      </c>
      <c r="X8" s="1" t="s">
        <v>7</v>
      </c>
      <c r="Y8" s="1" t="s">
        <v>8</v>
      </c>
      <c r="Z8" s="1" t="s">
        <v>9</v>
      </c>
      <c r="AA8" s="1" t="s">
        <v>10</v>
      </c>
      <c r="AB8" s="3" t="s">
        <v>11</v>
      </c>
      <c r="AC8" s="1" t="s">
        <v>12</v>
      </c>
      <c r="AD8" s="1" t="s">
        <v>13</v>
      </c>
      <c r="AE8" s="1" t="s">
        <v>14</v>
      </c>
      <c r="AF8" s="1" t="s">
        <v>15</v>
      </c>
      <c r="AG8" s="1" t="s">
        <v>16</v>
      </c>
      <c r="AH8" s="3" t="s">
        <v>17</v>
      </c>
      <c r="AI8" s="3" t="s">
        <v>18</v>
      </c>
      <c r="AJ8" s="3" t="s">
        <v>19</v>
      </c>
      <c r="AK8" s="1" t="s">
        <v>20</v>
      </c>
      <c r="AL8" s="3" t="s">
        <v>21</v>
      </c>
      <c r="AM8" s="1" t="s">
        <v>22</v>
      </c>
      <c r="AN8" s="1" t="s">
        <v>23</v>
      </c>
      <c r="AO8" s="1" t="s">
        <v>24</v>
      </c>
      <c r="AP8" s="1" t="s">
        <v>25</v>
      </c>
      <c r="AQ8" s="1" t="s">
        <v>26</v>
      </c>
      <c r="AR8" s="6" t="s">
        <v>653</v>
      </c>
      <c r="AS8" s="1" t="s">
        <v>25</v>
      </c>
      <c r="AT8" s="1" t="s">
        <v>26</v>
      </c>
      <c r="AU8" s="16" t="s">
        <v>656</v>
      </c>
      <c r="AV8" s="1" t="s">
        <v>0</v>
      </c>
      <c r="AW8" s="1" t="s">
        <v>563</v>
      </c>
      <c r="AX8" s="1" t="s">
        <v>20</v>
      </c>
      <c r="AY8" s="1" t="s">
        <v>564</v>
      </c>
      <c r="AZ8" s="1" t="s">
        <v>655</v>
      </c>
      <c r="BA8" s="1" t="s">
        <v>1</v>
      </c>
      <c r="BB8" s="1" t="s">
        <v>2</v>
      </c>
      <c r="BC8" s="1" t="s">
        <v>8</v>
      </c>
      <c r="BD8" s="1" t="s">
        <v>565</v>
      </c>
      <c r="BE8" s="1" t="s">
        <v>566</v>
      </c>
      <c r="BF8" s="1" t="s">
        <v>16</v>
      </c>
      <c r="BG8" s="1" t="s">
        <v>18</v>
      </c>
      <c r="BH8" s="1" t="s">
        <v>567</v>
      </c>
      <c r="BI8" s="1" t="s">
        <v>568</v>
      </c>
      <c r="BJ8" s="1" t="s">
        <v>569</v>
      </c>
      <c r="BK8" s="1" t="s">
        <v>22</v>
      </c>
      <c r="BL8" s="1" t="s">
        <v>570</v>
      </c>
      <c r="BM8" s="1" t="s">
        <v>24</v>
      </c>
    </row>
    <row r="9" spans="1:65" ht="16.5">
      <c r="A9" s="10" t="s">
        <v>485</v>
      </c>
      <c r="B9" s="2" t="s">
        <v>32</v>
      </c>
      <c r="C9" s="2" t="s">
        <v>33</v>
      </c>
      <c r="D9" s="2" t="s">
        <v>486</v>
      </c>
      <c r="E9" s="10" t="s">
        <v>487</v>
      </c>
      <c r="F9" s="2" t="s">
        <v>488</v>
      </c>
      <c r="G9" s="2" t="s">
        <v>489</v>
      </c>
      <c r="H9" s="2" t="s">
        <v>28</v>
      </c>
      <c r="I9" s="10" t="s">
        <v>490</v>
      </c>
      <c r="J9" s="2"/>
      <c r="K9" s="2" t="s">
        <v>491</v>
      </c>
      <c r="L9" s="2" t="s">
        <v>27</v>
      </c>
      <c r="M9" s="2" t="s">
        <v>492</v>
      </c>
      <c r="N9" s="2">
        <v>200700</v>
      </c>
      <c r="O9" s="10" t="s">
        <v>107</v>
      </c>
      <c r="P9" s="10">
        <v>26091</v>
      </c>
      <c r="Q9" s="10">
        <v>226791</v>
      </c>
      <c r="R9" s="2"/>
      <c r="S9" s="2"/>
      <c r="T9" s="4" t="s">
        <v>29</v>
      </c>
      <c r="U9" s="2" t="s">
        <v>30</v>
      </c>
      <c r="V9" s="4" t="s">
        <v>31</v>
      </c>
      <c r="W9" s="2" t="s">
        <v>32</v>
      </c>
      <c r="X9" s="2" t="s">
        <v>33</v>
      </c>
      <c r="Y9" s="2" t="s">
        <v>34</v>
      </c>
      <c r="Z9" s="2" t="s">
        <v>35</v>
      </c>
      <c r="AA9" s="2" t="s">
        <v>36</v>
      </c>
      <c r="AB9" s="4" t="s">
        <v>37</v>
      </c>
      <c r="AC9" s="2"/>
      <c r="AD9" s="2"/>
      <c r="AE9" s="2"/>
      <c r="AF9" s="2"/>
      <c r="AG9" s="2">
        <v>18.63</v>
      </c>
      <c r="AH9" s="4" t="s">
        <v>38</v>
      </c>
      <c r="AI9" s="4">
        <v>0.56000000000000005</v>
      </c>
      <c r="AJ9" s="4">
        <v>19.190000000000001</v>
      </c>
      <c r="AK9" s="2" t="s">
        <v>39</v>
      </c>
      <c r="AL9" s="15" t="s">
        <v>649</v>
      </c>
      <c r="AM9" s="2" t="s">
        <v>41</v>
      </c>
      <c r="AN9" s="2" t="s">
        <v>42</v>
      </c>
      <c r="AO9" s="2" t="s">
        <v>41</v>
      </c>
      <c r="AP9" s="2" t="s">
        <v>43</v>
      </c>
      <c r="AQ9" s="2"/>
      <c r="AR9" s="7" t="s">
        <v>481</v>
      </c>
      <c r="AS9" s="2" t="s">
        <v>493</v>
      </c>
      <c r="AT9" s="2" t="s">
        <v>494</v>
      </c>
      <c r="AU9" s="2" t="s">
        <v>652</v>
      </c>
      <c r="AV9" s="13" t="s">
        <v>27</v>
      </c>
      <c r="AW9" s="13" t="s">
        <v>571</v>
      </c>
      <c r="AX9" s="13" t="s">
        <v>39</v>
      </c>
      <c r="AY9" s="13"/>
      <c r="AZ9" s="13" t="s">
        <v>572</v>
      </c>
      <c r="BA9" s="13" t="s">
        <v>573</v>
      </c>
      <c r="BB9" s="13" t="s">
        <v>574</v>
      </c>
      <c r="BC9" s="14">
        <v>45983.459120370368</v>
      </c>
      <c r="BD9" s="13" t="s">
        <v>575</v>
      </c>
      <c r="BE9" s="13" t="s">
        <v>576</v>
      </c>
      <c r="BF9" s="13">
        <v>2661.06</v>
      </c>
      <c r="BG9" s="13">
        <v>159.66</v>
      </c>
      <c r="BH9" s="13">
        <v>159.66</v>
      </c>
      <c r="BI9" s="13" t="s">
        <v>577</v>
      </c>
      <c r="BJ9" s="13" t="s">
        <v>578</v>
      </c>
      <c r="BK9" s="13" t="s">
        <v>41</v>
      </c>
      <c r="BL9" s="14">
        <v>46083.665844907409</v>
      </c>
      <c r="BM9" s="13" t="s">
        <v>41</v>
      </c>
    </row>
    <row r="10" spans="1:65" ht="16.5">
      <c r="A10" s="10" t="s">
        <v>495</v>
      </c>
      <c r="B10" s="2" t="s">
        <v>32</v>
      </c>
      <c r="C10" s="2" t="s">
        <v>33</v>
      </c>
      <c r="D10" s="2" t="s">
        <v>486</v>
      </c>
      <c r="E10" s="10" t="s">
        <v>487</v>
      </c>
      <c r="F10" s="2" t="s">
        <v>496</v>
      </c>
      <c r="G10" s="2" t="s">
        <v>489</v>
      </c>
      <c r="H10" s="2" t="s">
        <v>28</v>
      </c>
      <c r="I10" s="10" t="s">
        <v>497</v>
      </c>
      <c r="J10" s="2"/>
      <c r="K10" s="2" t="s">
        <v>491</v>
      </c>
      <c r="L10" s="2" t="s">
        <v>27</v>
      </c>
      <c r="M10" s="2" t="s">
        <v>498</v>
      </c>
      <c r="N10" s="2">
        <v>209700</v>
      </c>
      <c r="O10" s="10" t="s">
        <v>107</v>
      </c>
      <c r="P10" s="10">
        <v>27261</v>
      </c>
      <c r="Q10" s="10">
        <v>236961</v>
      </c>
      <c r="R10" s="2"/>
      <c r="S10" s="2"/>
      <c r="T10" s="4" t="s">
        <v>45</v>
      </c>
      <c r="U10" s="2" t="s">
        <v>46</v>
      </c>
      <c r="V10" s="4" t="s">
        <v>47</v>
      </c>
      <c r="W10" s="2" t="s">
        <v>32</v>
      </c>
      <c r="X10" s="2" t="s">
        <v>33</v>
      </c>
      <c r="Y10" s="2" t="s">
        <v>34</v>
      </c>
      <c r="Z10" s="2" t="s">
        <v>35</v>
      </c>
      <c r="AA10" s="2" t="s">
        <v>36</v>
      </c>
      <c r="AB10" s="4" t="s">
        <v>37</v>
      </c>
      <c r="AC10" s="2"/>
      <c r="AD10" s="2"/>
      <c r="AE10" s="2"/>
      <c r="AF10" s="2"/>
      <c r="AG10" s="2">
        <v>20.73</v>
      </c>
      <c r="AH10" s="4" t="s">
        <v>38</v>
      </c>
      <c r="AI10" s="4">
        <v>0.62</v>
      </c>
      <c r="AJ10" s="4">
        <v>21.35</v>
      </c>
      <c r="AK10" s="2" t="s">
        <v>39</v>
      </c>
      <c r="AL10" s="4" t="s">
        <v>40</v>
      </c>
      <c r="AM10" s="2" t="s">
        <v>41</v>
      </c>
      <c r="AN10" s="2" t="s">
        <v>42</v>
      </c>
      <c r="AO10" s="2" t="s">
        <v>41</v>
      </c>
      <c r="AP10" s="2" t="s">
        <v>48</v>
      </c>
      <c r="AQ10" s="2"/>
      <c r="AR10" s="7" t="s">
        <v>481</v>
      </c>
      <c r="AS10" s="2" t="s">
        <v>493</v>
      </c>
      <c r="AT10" s="2" t="s">
        <v>494</v>
      </c>
      <c r="AU10" s="2" t="s">
        <v>652</v>
      </c>
      <c r="AV10" s="13" t="s">
        <v>44</v>
      </c>
      <c r="AW10" s="13" t="s">
        <v>571</v>
      </c>
      <c r="AX10" s="13" t="s">
        <v>39</v>
      </c>
      <c r="AY10" s="13"/>
      <c r="AZ10" s="13" t="s">
        <v>579</v>
      </c>
      <c r="BA10" s="13" t="s">
        <v>573</v>
      </c>
      <c r="BB10" s="13" t="s">
        <v>580</v>
      </c>
      <c r="BC10" s="14">
        <v>45996.588356481479</v>
      </c>
      <c r="BD10" s="13" t="s">
        <v>581</v>
      </c>
      <c r="BE10" s="13" t="s">
        <v>582</v>
      </c>
      <c r="BF10" s="13">
        <v>13809.52</v>
      </c>
      <c r="BG10" s="13">
        <v>690.48</v>
      </c>
      <c r="BH10" s="13">
        <v>690.48</v>
      </c>
      <c r="BI10" s="13" t="s">
        <v>577</v>
      </c>
      <c r="BJ10" s="13" t="s">
        <v>578</v>
      </c>
      <c r="BK10" s="13" t="s">
        <v>41</v>
      </c>
      <c r="BL10" s="14">
        <v>46083.665844907409</v>
      </c>
      <c r="BM10" s="13" t="s">
        <v>41</v>
      </c>
    </row>
    <row r="11" spans="1:65" ht="16.5">
      <c r="A11" s="10" t="s">
        <v>499</v>
      </c>
      <c r="B11" s="2" t="s">
        <v>32</v>
      </c>
      <c r="C11" s="2" t="s">
        <v>33</v>
      </c>
      <c r="D11" s="2" t="s">
        <v>486</v>
      </c>
      <c r="E11" s="10" t="s">
        <v>487</v>
      </c>
      <c r="F11" s="2" t="s">
        <v>500</v>
      </c>
      <c r="G11" s="2" t="s">
        <v>501</v>
      </c>
      <c r="H11" s="2" t="s">
        <v>502</v>
      </c>
      <c r="I11" s="10" t="s">
        <v>503</v>
      </c>
      <c r="J11" s="2"/>
      <c r="K11" s="2" t="s">
        <v>426</v>
      </c>
      <c r="L11" s="2" t="s">
        <v>27</v>
      </c>
      <c r="M11" s="2" t="s">
        <v>504</v>
      </c>
      <c r="N11" s="2">
        <v>189860</v>
      </c>
      <c r="O11" s="10" t="s">
        <v>417</v>
      </c>
      <c r="P11" s="10">
        <v>17087.400000000001</v>
      </c>
      <c r="Q11" s="10">
        <v>206947.4</v>
      </c>
      <c r="R11" s="2"/>
      <c r="S11" s="2"/>
      <c r="T11" s="4" t="s">
        <v>50</v>
      </c>
      <c r="U11" s="2" t="s">
        <v>51</v>
      </c>
      <c r="V11" s="4" t="s">
        <v>52</v>
      </c>
      <c r="W11" s="2" t="s">
        <v>32</v>
      </c>
      <c r="X11" s="2" t="s">
        <v>33</v>
      </c>
      <c r="Y11" s="2" t="s">
        <v>34</v>
      </c>
      <c r="Z11" s="2" t="s">
        <v>35</v>
      </c>
      <c r="AA11" s="2" t="s">
        <v>36</v>
      </c>
      <c r="AB11" s="4" t="s">
        <v>37</v>
      </c>
      <c r="AC11" s="2"/>
      <c r="AD11" s="2"/>
      <c r="AE11" s="2"/>
      <c r="AF11" s="2"/>
      <c r="AG11" s="2">
        <v>12.69</v>
      </c>
      <c r="AH11" s="4" t="s">
        <v>38</v>
      </c>
      <c r="AI11" s="4">
        <v>0.38</v>
      </c>
      <c r="AJ11" s="4">
        <v>13.07</v>
      </c>
      <c r="AK11" s="2" t="s">
        <v>39</v>
      </c>
      <c r="AL11" s="4" t="s">
        <v>40</v>
      </c>
      <c r="AM11" s="2" t="s">
        <v>41</v>
      </c>
      <c r="AN11" s="2" t="s">
        <v>42</v>
      </c>
      <c r="AO11" s="2" t="s">
        <v>41</v>
      </c>
      <c r="AP11" s="2" t="s">
        <v>53</v>
      </c>
      <c r="AQ11" s="2"/>
      <c r="AR11" s="7" t="s">
        <v>481</v>
      </c>
      <c r="AS11" s="2" t="s">
        <v>493</v>
      </c>
      <c r="AT11" s="2" t="s">
        <v>505</v>
      </c>
      <c r="AU11" s="2" t="s">
        <v>652</v>
      </c>
      <c r="AV11" s="13" t="s">
        <v>49</v>
      </c>
      <c r="AW11" s="13" t="s">
        <v>571</v>
      </c>
      <c r="AX11" s="13" t="s">
        <v>39</v>
      </c>
      <c r="AY11" s="13"/>
      <c r="AZ11" s="13" t="s">
        <v>420</v>
      </c>
      <c r="BA11" s="13" t="s">
        <v>583</v>
      </c>
      <c r="BB11" s="13" t="s">
        <v>584</v>
      </c>
      <c r="BC11" s="14">
        <v>46057.640752314815</v>
      </c>
      <c r="BD11" s="13" t="s">
        <v>421</v>
      </c>
      <c r="BE11" s="13" t="s">
        <v>422</v>
      </c>
      <c r="BF11" s="13">
        <v>471.7</v>
      </c>
      <c r="BG11" s="13">
        <v>28.3</v>
      </c>
      <c r="BH11" s="13">
        <v>28.3</v>
      </c>
      <c r="BI11" s="13" t="s">
        <v>577</v>
      </c>
      <c r="BJ11" s="13" t="s">
        <v>578</v>
      </c>
      <c r="BK11" s="13" t="s">
        <v>41</v>
      </c>
      <c r="BL11" s="14">
        <v>46083.665844907409</v>
      </c>
      <c r="BM11" s="13" t="s">
        <v>41</v>
      </c>
    </row>
    <row r="12" spans="1:65" ht="16.5">
      <c r="A12" s="10" t="s">
        <v>506</v>
      </c>
      <c r="B12" s="2" t="s">
        <v>32</v>
      </c>
      <c r="C12" s="2" t="s">
        <v>33</v>
      </c>
      <c r="D12" s="2" t="s">
        <v>486</v>
      </c>
      <c r="E12" s="10" t="s">
        <v>487</v>
      </c>
      <c r="F12" s="2" t="s">
        <v>507</v>
      </c>
      <c r="G12" s="2" t="s">
        <v>508</v>
      </c>
      <c r="H12" s="2" t="s">
        <v>28</v>
      </c>
      <c r="I12" s="10" t="s">
        <v>509</v>
      </c>
      <c r="J12" s="2"/>
      <c r="K12" s="2" t="s">
        <v>426</v>
      </c>
      <c r="L12" s="2" t="s">
        <v>27</v>
      </c>
      <c r="M12" s="2" t="s">
        <v>510</v>
      </c>
      <c r="N12" s="2">
        <v>150300</v>
      </c>
      <c r="O12" s="10" t="s">
        <v>189</v>
      </c>
      <c r="P12" s="10">
        <v>9018</v>
      </c>
      <c r="Q12" s="10">
        <v>159318</v>
      </c>
      <c r="R12" s="2"/>
      <c r="S12" s="2"/>
      <c r="T12" s="4" t="s">
        <v>55</v>
      </c>
      <c r="U12" s="2" t="s">
        <v>56</v>
      </c>
      <c r="V12" s="4" t="s">
        <v>57</v>
      </c>
      <c r="W12" s="2" t="s">
        <v>32</v>
      </c>
      <c r="X12" s="2" t="s">
        <v>33</v>
      </c>
      <c r="Y12" s="2" t="s">
        <v>34</v>
      </c>
      <c r="Z12" s="2" t="s">
        <v>35</v>
      </c>
      <c r="AA12" s="2" t="s">
        <v>36</v>
      </c>
      <c r="AB12" s="4" t="s">
        <v>37</v>
      </c>
      <c r="AC12" s="2"/>
      <c r="AD12" s="2"/>
      <c r="AE12" s="2"/>
      <c r="AF12" s="2"/>
      <c r="AG12" s="2">
        <v>0.22</v>
      </c>
      <c r="AH12" s="4" t="s">
        <v>38</v>
      </c>
      <c r="AI12" s="4">
        <v>0.01</v>
      </c>
      <c r="AJ12" s="4">
        <v>0.23</v>
      </c>
      <c r="AK12" s="2" t="s">
        <v>39</v>
      </c>
      <c r="AL12" s="4" t="s">
        <v>40</v>
      </c>
      <c r="AM12" s="2" t="s">
        <v>41</v>
      </c>
      <c r="AN12" s="2" t="s">
        <v>42</v>
      </c>
      <c r="AO12" s="2" t="s">
        <v>41</v>
      </c>
      <c r="AP12" s="2" t="s">
        <v>58</v>
      </c>
      <c r="AQ12" s="2"/>
      <c r="AR12" s="7" t="s">
        <v>481</v>
      </c>
      <c r="AS12" s="2" t="s">
        <v>493</v>
      </c>
      <c r="AT12" s="2" t="s">
        <v>511</v>
      </c>
      <c r="AU12" s="2" t="s">
        <v>652</v>
      </c>
      <c r="AV12" s="13" t="s">
        <v>54</v>
      </c>
      <c r="AW12" s="13" t="s">
        <v>571</v>
      </c>
      <c r="AX12" s="13" t="s">
        <v>39</v>
      </c>
      <c r="AY12" s="13"/>
      <c r="AZ12" s="13" t="s">
        <v>585</v>
      </c>
      <c r="BA12" s="13" t="s">
        <v>586</v>
      </c>
      <c r="BB12" s="13" t="s">
        <v>587</v>
      </c>
      <c r="BC12" s="14">
        <v>46048.668402777781</v>
      </c>
      <c r="BD12" s="13" t="s">
        <v>588</v>
      </c>
      <c r="BE12" s="13" t="s">
        <v>589</v>
      </c>
      <c r="BF12" s="13">
        <v>495.13</v>
      </c>
      <c r="BG12" s="13">
        <v>64.36</v>
      </c>
      <c r="BH12" s="13">
        <v>64.36</v>
      </c>
      <c r="BI12" s="13" t="s">
        <v>577</v>
      </c>
      <c r="BJ12" s="13" t="s">
        <v>578</v>
      </c>
      <c r="BK12" s="13" t="s">
        <v>41</v>
      </c>
      <c r="BL12" s="14">
        <v>46083.665844907409</v>
      </c>
      <c r="BM12" s="13" t="s">
        <v>41</v>
      </c>
    </row>
    <row r="13" spans="1:65" ht="16.5">
      <c r="A13" s="10" t="s">
        <v>512</v>
      </c>
      <c r="B13" s="2" t="s">
        <v>32</v>
      </c>
      <c r="C13" s="2" t="s">
        <v>33</v>
      </c>
      <c r="D13" s="2" t="s">
        <v>513</v>
      </c>
      <c r="E13" s="10" t="s">
        <v>514</v>
      </c>
      <c r="F13" s="2" t="s">
        <v>515</v>
      </c>
      <c r="G13" s="2" t="s">
        <v>489</v>
      </c>
      <c r="H13" s="2" t="s">
        <v>28</v>
      </c>
      <c r="I13" s="10" t="s">
        <v>516</v>
      </c>
      <c r="J13" s="2"/>
      <c r="K13" s="2" t="s">
        <v>491</v>
      </c>
      <c r="L13" s="2" t="s">
        <v>27</v>
      </c>
      <c r="M13" s="2" t="s">
        <v>517</v>
      </c>
      <c r="N13" s="2">
        <v>180000</v>
      </c>
      <c r="O13" s="10" t="s">
        <v>107</v>
      </c>
      <c r="P13" s="10">
        <v>23400</v>
      </c>
      <c r="Q13" s="10">
        <v>203400</v>
      </c>
      <c r="R13" s="2"/>
      <c r="S13" s="2"/>
      <c r="T13" s="4" t="s">
        <v>60</v>
      </c>
      <c r="U13" s="2" t="s">
        <v>51</v>
      </c>
      <c r="V13" s="4" t="s">
        <v>52</v>
      </c>
      <c r="W13" s="2" t="s">
        <v>32</v>
      </c>
      <c r="X13" s="2" t="s">
        <v>33</v>
      </c>
      <c r="Y13" s="2" t="s">
        <v>61</v>
      </c>
      <c r="Z13" s="2" t="s">
        <v>35</v>
      </c>
      <c r="AA13" s="2" t="s">
        <v>36</v>
      </c>
      <c r="AB13" s="4" t="s">
        <v>37</v>
      </c>
      <c r="AC13" s="2"/>
      <c r="AD13" s="2"/>
      <c r="AE13" s="2"/>
      <c r="AF13" s="2"/>
      <c r="AG13" s="2">
        <v>20.89</v>
      </c>
      <c r="AH13" s="4" t="s">
        <v>38</v>
      </c>
      <c r="AI13" s="4">
        <v>0.63</v>
      </c>
      <c r="AJ13" s="4">
        <v>21.52</v>
      </c>
      <c r="AK13" s="2" t="s">
        <v>39</v>
      </c>
      <c r="AL13" s="4" t="s">
        <v>40</v>
      </c>
      <c r="AM13" s="2" t="s">
        <v>41</v>
      </c>
      <c r="AN13" s="2" t="s">
        <v>42</v>
      </c>
      <c r="AO13" s="2" t="s">
        <v>41</v>
      </c>
      <c r="AP13" s="2" t="s">
        <v>53</v>
      </c>
      <c r="AQ13" s="2"/>
      <c r="AR13" s="7" t="s">
        <v>481</v>
      </c>
      <c r="AS13" s="2" t="s">
        <v>493</v>
      </c>
      <c r="AT13" s="2" t="s">
        <v>518</v>
      </c>
      <c r="AU13" s="2" t="s">
        <v>652</v>
      </c>
      <c r="AV13" s="13" t="s">
        <v>59</v>
      </c>
      <c r="AW13" s="13" t="s">
        <v>571</v>
      </c>
      <c r="AX13" s="13" t="s">
        <v>39</v>
      </c>
      <c r="AY13" s="13"/>
      <c r="AZ13" s="13" t="s">
        <v>590</v>
      </c>
      <c r="BA13" s="13" t="s">
        <v>591</v>
      </c>
      <c r="BB13" s="13" t="s">
        <v>592</v>
      </c>
      <c r="BC13" s="14">
        <v>46028.393483796295</v>
      </c>
      <c r="BD13" s="13" t="s">
        <v>593</v>
      </c>
      <c r="BE13" s="13" t="s">
        <v>594</v>
      </c>
      <c r="BF13" s="13">
        <v>566.04</v>
      </c>
      <c r="BG13" s="13">
        <v>33.96</v>
      </c>
      <c r="BH13" s="13">
        <v>33.96</v>
      </c>
      <c r="BI13" s="13" t="s">
        <v>577</v>
      </c>
      <c r="BJ13" s="13" t="s">
        <v>578</v>
      </c>
      <c r="BK13" s="13" t="s">
        <v>41</v>
      </c>
      <c r="BL13" s="14">
        <v>46083.665844907409</v>
      </c>
      <c r="BM13" s="13" t="s">
        <v>41</v>
      </c>
    </row>
    <row r="14" spans="1:65" ht="16.5">
      <c r="A14" s="10" t="s">
        <v>519</v>
      </c>
      <c r="B14" s="2" t="s">
        <v>32</v>
      </c>
      <c r="C14" s="2" t="s">
        <v>33</v>
      </c>
      <c r="D14" s="2" t="s">
        <v>520</v>
      </c>
      <c r="E14" s="10" t="s">
        <v>521</v>
      </c>
      <c r="F14" s="2" t="s">
        <v>522</v>
      </c>
      <c r="G14" s="2" t="s">
        <v>523</v>
      </c>
      <c r="H14" s="2" t="s">
        <v>28</v>
      </c>
      <c r="I14" s="10" t="s">
        <v>524</v>
      </c>
      <c r="J14" s="2"/>
      <c r="K14" s="2" t="s">
        <v>491</v>
      </c>
      <c r="L14" s="2" t="s">
        <v>525</v>
      </c>
      <c r="M14" s="2" t="s">
        <v>526</v>
      </c>
      <c r="N14" s="2">
        <v>290852.15999999997</v>
      </c>
      <c r="O14" s="10" t="s">
        <v>107</v>
      </c>
      <c r="P14" s="10">
        <v>37810.78</v>
      </c>
      <c r="Q14" s="10">
        <v>328662.94</v>
      </c>
      <c r="R14" s="2"/>
      <c r="S14" s="2"/>
      <c r="T14" s="4" t="s">
        <v>63</v>
      </c>
      <c r="U14" s="2" t="s">
        <v>51</v>
      </c>
      <c r="V14" s="4" t="s">
        <v>52</v>
      </c>
      <c r="W14" s="2" t="s">
        <v>32</v>
      </c>
      <c r="X14" s="2" t="s">
        <v>33</v>
      </c>
      <c r="Y14" s="2" t="s">
        <v>64</v>
      </c>
      <c r="Z14" s="2" t="s">
        <v>35</v>
      </c>
      <c r="AA14" s="2" t="s">
        <v>36</v>
      </c>
      <c r="AB14" s="4" t="s">
        <v>37</v>
      </c>
      <c r="AC14" s="2"/>
      <c r="AD14" s="2"/>
      <c r="AE14" s="2"/>
      <c r="AF14" s="2"/>
      <c r="AG14" s="2">
        <v>22.82</v>
      </c>
      <c r="AH14" s="4" t="s">
        <v>38</v>
      </c>
      <c r="AI14" s="4">
        <v>0.68</v>
      </c>
      <c r="AJ14" s="4">
        <v>23.5</v>
      </c>
      <c r="AK14" s="2" t="s">
        <v>39</v>
      </c>
      <c r="AL14" s="4" t="s">
        <v>40</v>
      </c>
      <c r="AM14" s="2" t="s">
        <v>41</v>
      </c>
      <c r="AN14" s="2" t="s">
        <v>42</v>
      </c>
      <c r="AO14" s="2" t="s">
        <v>41</v>
      </c>
      <c r="AP14" s="2" t="s">
        <v>53</v>
      </c>
      <c r="AQ14" s="2"/>
      <c r="AR14" s="7" t="s">
        <v>481</v>
      </c>
      <c r="AS14" s="2" t="s">
        <v>493</v>
      </c>
      <c r="AT14" s="2" t="s">
        <v>527</v>
      </c>
      <c r="AU14" s="2" t="s">
        <v>652</v>
      </c>
      <c r="AV14" s="13" t="s">
        <v>62</v>
      </c>
      <c r="AW14" s="13" t="s">
        <v>571</v>
      </c>
      <c r="AX14" s="13" t="s">
        <v>39</v>
      </c>
      <c r="AY14" s="13"/>
      <c r="AZ14" s="13" t="s">
        <v>595</v>
      </c>
      <c r="BA14" s="13" t="s">
        <v>596</v>
      </c>
      <c r="BB14" s="13" t="s">
        <v>597</v>
      </c>
      <c r="BC14" s="14">
        <v>46043.716111111113</v>
      </c>
      <c r="BD14" s="13" t="s">
        <v>598</v>
      </c>
      <c r="BE14" s="13" t="s">
        <v>599</v>
      </c>
      <c r="BF14" s="13">
        <v>17141.59</v>
      </c>
      <c r="BG14" s="13">
        <v>2228.41</v>
      </c>
      <c r="BH14" s="13">
        <v>2228.41</v>
      </c>
      <c r="BI14" s="13" t="s">
        <v>577</v>
      </c>
      <c r="BJ14" s="13" t="s">
        <v>578</v>
      </c>
      <c r="BK14" s="13" t="s">
        <v>41</v>
      </c>
      <c r="BL14" s="14">
        <v>46083.665844907409</v>
      </c>
      <c r="BM14" s="13" t="s">
        <v>41</v>
      </c>
    </row>
    <row r="15" spans="1:65" ht="14.25">
      <c r="A15" s="2" t="s">
        <v>528</v>
      </c>
      <c r="B15" s="2" t="s">
        <v>32</v>
      </c>
      <c r="C15" s="2" t="s">
        <v>33</v>
      </c>
      <c r="D15" s="2" t="s">
        <v>529</v>
      </c>
      <c r="E15" s="2" t="s">
        <v>530</v>
      </c>
      <c r="F15" s="2" t="s">
        <v>531</v>
      </c>
      <c r="G15" s="2" t="s">
        <v>532</v>
      </c>
      <c r="H15" s="2" t="s">
        <v>28</v>
      </c>
      <c r="I15" s="2" t="s">
        <v>533</v>
      </c>
      <c r="J15" s="2"/>
      <c r="K15" s="2" t="s">
        <v>491</v>
      </c>
      <c r="L15" s="2" t="s">
        <v>228</v>
      </c>
      <c r="M15" s="2" t="s">
        <v>534</v>
      </c>
      <c r="N15" s="2">
        <v>11893.81</v>
      </c>
      <c r="O15" s="2" t="s">
        <v>107</v>
      </c>
      <c r="P15" s="2">
        <v>1546.19</v>
      </c>
      <c r="Q15" s="2">
        <v>13440</v>
      </c>
      <c r="R15" s="2"/>
      <c r="S15" s="2"/>
      <c r="T15" s="4" t="s">
        <v>66</v>
      </c>
      <c r="U15" s="2" t="s">
        <v>67</v>
      </c>
      <c r="V15" s="4" t="s">
        <v>68</v>
      </c>
      <c r="W15" s="2" t="s">
        <v>32</v>
      </c>
      <c r="X15" s="2" t="s">
        <v>33</v>
      </c>
      <c r="Y15" s="2" t="s">
        <v>69</v>
      </c>
      <c r="Z15" s="2" t="s">
        <v>70</v>
      </c>
      <c r="AA15" s="2" t="s">
        <v>28</v>
      </c>
      <c r="AB15" s="4" t="s">
        <v>71</v>
      </c>
      <c r="AC15" s="2" t="s">
        <v>72</v>
      </c>
      <c r="AD15" s="2" t="s">
        <v>73</v>
      </c>
      <c r="AE15" s="2" t="s">
        <v>44</v>
      </c>
      <c r="AF15" s="2" t="s">
        <v>74</v>
      </c>
      <c r="AG15" s="2">
        <v>138.61000000000001</v>
      </c>
      <c r="AH15" s="4" t="s">
        <v>75</v>
      </c>
      <c r="AI15" s="4">
        <v>1.39</v>
      </c>
      <c r="AJ15" s="4">
        <v>140</v>
      </c>
      <c r="AK15" s="2" t="s">
        <v>39</v>
      </c>
      <c r="AL15" s="4" t="s">
        <v>76</v>
      </c>
      <c r="AM15" s="2" t="s">
        <v>41</v>
      </c>
      <c r="AN15" s="2" t="s">
        <v>42</v>
      </c>
      <c r="AO15" s="2" t="s">
        <v>41</v>
      </c>
      <c r="AP15" s="2" t="s">
        <v>77</v>
      </c>
      <c r="AQ15" s="2" t="s">
        <v>78</v>
      </c>
      <c r="AS15" s="2" t="s">
        <v>493</v>
      </c>
      <c r="AT15" s="2" t="s">
        <v>535</v>
      </c>
      <c r="AV15" s="13" t="s">
        <v>65</v>
      </c>
      <c r="AW15" s="13" t="s">
        <v>571</v>
      </c>
      <c r="AX15" s="13" t="s">
        <v>39</v>
      </c>
      <c r="AY15" s="13"/>
      <c r="AZ15" s="13" t="s">
        <v>429</v>
      </c>
      <c r="BA15" s="13" t="s">
        <v>596</v>
      </c>
      <c r="BB15" s="13" t="s">
        <v>600</v>
      </c>
      <c r="BC15" s="14">
        <v>46057.619131944448</v>
      </c>
      <c r="BD15" s="13" t="s">
        <v>430</v>
      </c>
      <c r="BE15" s="13" t="s">
        <v>431</v>
      </c>
      <c r="BF15" s="13">
        <v>283.02</v>
      </c>
      <c r="BG15" s="13">
        <v>16.98</v>
      </c>
      <c r="BH15" s="13">
        <v>16.98</v>
      </c>
      <c r="BI15" s="13" t="s">
        <v>577</v>
      </c>
      <c r="BJ15" s="13" t="s">
        <v>578</v>
      </c>
      <c r="BK15" s="13" t="s">
        <v>41</v>
      </c>
      <c r="BL15" s="14">
        <v>46083.665844907409</v>
      </c>
      <c r="BM15" s="13" t="s">
        <v>41</v>
      </c>
    </row>
    <row r="16" spans="1:65" ht="14.25">
      <c r="A16" s="2" t="s">
        <v>536</v>
      </c>
      <c r="B16" s="2" t="s">
        <v>32</v>
      </c>
      <c r="C16" s="2" t="s">
        <v>33</v>
      </c>
      <c r="D16" s="2" t="s">
        <v>529</v>
      </c>
      <c r="E16" s="2" t="s">
        <v>530</v>
      </c>
      <c r="F16" s="2" t="s">
        <v>537</v>
      </c>
      <c r="G16" s="2" t="s">
        <v>489</v>
      </c>
      <c r="H16" s="2" t="s">
        <v>28</v>
      </c>
      <c r="I16" s="2" t="s">
        <v>538</v>
      </c>
      <c r="J16" s="2"/>
      <c r="K16" s="2" t="s">
        <v>491</v>
      </c>
      <c r="L16" s="2" t="s">
        <v>539</v>
      </c>
      <c r="M16" s="2" t="s">
        <v>540</v>
      </c>
      <c r="N16" s="2">
        <v>114345.58</v>
      </c>
      <c r="O16" s="2" t="s">
        <v>107</v>
      </c>
      <c r="P16" s="2">
        <v>14864.93</v>
      </c>
      <c r="Q16" s="2">
        <v>129210.51</v>
      </c>
      <c r="R16" s="2"/>
      <c r="S16" s="2"/>
      <c r="T16" s="4" t="s">
        <v>66</v>
      </c>
      <c r="U16" s="2" t="s">
        <v>67</v>
      </c>
      <c r="V16" s="4" t="s">
        <v>68</v>
      </c>
      <c r="W16" s="2" t="s">
        <v>32</v>
      </c>
      <c r="X16" s="2" t="s">
        <v>33</v>
      </c>
      <c r="Y16" s="2" t="s">
        <v>69</v>
      </c>
      <c r="Z16" s="2" t="s">
        <v>70</v>
      </c>
      <c r="AA16" s="2" t="s">
        <v>28</v>
      </c>
      <c r="AB16" s="4" t="s">
        <v>71</v>
      </c>
      <c r="AC16" s="2" t="s">
        <v>80</v>
      </c>
      <c r="AD16" s="2" t="s">
        <v>73</v>
      </c>
      <c r="AE16" s="2" t="s">
        <v>54</v>
      </c>
      <c r="AF16" s="2" t="s">
        <v>81</v>
      </c>
      <c r="AG16" s="2">
        <v>198.02</v>
      </c>
      <c r="AH16" s="4" t="s">
        <v>75</v>
      </c>
      <c r="AI16" s="4">
        <v>1.98</v>
      </c>
      <c r="AJ16" s="4">
        <v>200</v>
      </c>
      <c r="AK16" s="2" t="s">
        <v>39</v>
      </c>
      <c r="AL16" s="4" t="s">
        <v>76</v>
      </c>
      <c r="AM16" s="2" t="s">
        <v>41</v>
      </c>
      <c r="AN16" s="2" t="s">
        <v>42</v>
      </c>
      <c r="AO16" s="2" t="s">
        <v>41</v>
      </c>
      <c r="AP16" s="2" t="s">
        <v>77</v>
      </c>
      <c r="AQ16" s="2" t="s">
        <v>78</v>
      </c>
      <c r="AS16" s="2" t="s">
        <v>493</v>
      </c>
      <c r="AT16" s="2" t="s">
        <v>541</v>
      </c>
      <c r="AV16" s="13" t="s">
        <v>79</v>
      </c>
      <c r="AW16" s="13" t="s">
        <v>571</v>
      </c>
      <c r="AX16" s="13" t="s">
        <v>39</v>
      </c>
      <c r="AY16" s="13"/>
      <c r="AZ16" s="13" t="s">
        <v>394</v>
      </c>
      <c r="BA16" s="13" t="s">
        <v>596</v>
      </c>
      <c r="BB16" s="13" t="s">
        <v>601</v>
      </c>
      <c r="BC16" s="14">
        <v>46058.38616898148</v>
      </c>
      <c r="BD16" s="13" t="s">
        <v>395</v>
      </c>
      <c r="BE16" s="13" t="s">
        <v>396</v>
      </c>
      <c r="BF16" s="13">
        <v>2762.83</v>
      </c>
      <c r="BG16" s="13">
        <v>359.17</v>
      </c>
      <c r="BH16" s="13">
        <v>359.17</v>
      </c>
      <c r="BI16" s="13" t="s">
        <v>577</v>
      </c>
      <c r="BJ16" s="13" t="s">
        <v>578</v>
      </c>
      <c r="BK16" s="13" t="s">
        <v>41</v>
      </c>
      <c r="BL16" s="14">
        <v>46083.665844907409</v>
      </c>
      <c r="BM16" s="13" t="s">
        <v>41</v>
      </c>
    </row>
    <row r="17" spans="1:65" ht="14.25">
      <c r="A17" s="2" t="s">
        <v>542</v>
      </c>
      <c r="B17" s="2" t="s">
        <v>32</v>
      </c>
      <c r="C17" s="2" t="s">
        <v>33</v>
      </c>
      <c r="D17" s="2" t="s">
        <v>529</v>
      </c>
      <c r="E17" s="2" t="s">
        <v>530</v>
      </c>
      <c r="F17" s="2" t="s">
        <v>543</v>
      </c>
      <c r="G17" s="2" t="s">
        <v>489</v>
      </c>
      <c r="H17" s="2" t="s">
        <v>28</v>
      </c>
      <c r="I17" s="2" t="s">
        <v>538</v>
      </c>
      <c r="J17" s="2"/>
      <c r="K17" s="2" t="s">
        <v>491</v>
      </c>
      <c r="L17" s="2" t="s">
        <v>544</v>
      </c>
      <c r="M17" s="2" t="s">
        <v>540</v>
      </c>
      <c r="N17" s="2">
        <v>87440.74</v>
      </c>
      <c r="O17" s="2" t="s">
        <v>107</v>
      </c>
      <c r="P17" s="2">
        <v>11367.3</v>
      </c>
      <c r="Q17" s="2">
        <v>98808.04</v>
      </c>
      <c r="R17" s="2"/>
      <c r="S17" s="2"/>
      <c r="T17" s="4" t="s">
        <v>83</v>
      </c>
      <c r="U17" s="2" t="s">
        <v>84</v>
      </c>
      <c r="V17" s="4" t="s">
        <v>85</v>
      </c>
      <c r="W17" s="2" t="s">
        <v>32</v>
      </c>
      <c r="X17" s="2" t="s">
        <v>33</v>
      </c>
      <c r="Y17" s="2" t="s">
        <v>86</v>
      </c>
      <c r="Z17" s="2" t="s">
        <v>87</v>
      </c>
      <c r="AA17" s="2" t="s">
        <v>28</v>
      </c>
      <c r="AB17" s="4" t="s">
        <v>88</v>
      </c>
      <c r="AC17" s="2"/>
      <c r="AD17" s="2" t="s">
        <v>89</v>
      </c>
      <c r="AE17" s="2" t="s">
        <v>27</v>
      </c>
      <c r="AF17" s="2" t="s">
        <v>90</v>
      </c>
      <c r="AG17" s="2">
        <v>297.02999999999997</v>
      </c>
      <c r="AH17" s="4" t="s">
        <v>75</v>
      </c>
      <c r="AI17" s="4">
        <v>2.97</v>
      </c>
      <c r="AJ17" s="4">
        <v>300</v>
      </c>
      <c r="AK17" s="2" t="s">
        <v>39</v>
      </c>
      <c r="AL17" s="4" t="s">
        <v>76</v>
      </c>
      <c r="AM17" s="2" t="s">
        <v>41</v>
      </c>
      <c r="AN17" s="2" t="s">
        <v>42</v>
      </c>
      <c r="AO17" s="2" t="s">
        <v>41</v>
      </c>
      <c r="AP17" s="2" t="s">
        <v>91</v>
      </c>
      <c r="AQ17" s="2"/>
      <c r="AS17" s="2" t="s">
        <v>493</v>
      </c>
      <c r="AT17" s="2" t="s">
        <v>541</v>
      </c>
      <c r="AV17" s="13" t="s">
        <v>82</v>
      </c>
      <c r="AW17" s="13" t="s">
        <v>571</v>
      </c>
      <c r="AX17" s="13" t="s">
        <v>39</v>
      </c>
      <c r="AY17" s="13"/>
      <c r="AZ17" s="13" t="s">
        <v>138</v>
      </c>
      <c r="BA17" s="13" t="s">
        <v>602</v>
      </c>
      <c r="BB17" s="13" t="s">
        <v>603</v>
      </c>
      <c r="BC17" s="14">
        <v>46065.476273148146</v>
      </c>
      <c r="BD17" s="13" t="s">
        <v>139</v>
      </c>
      <c r="BE17" s="13" t="s">
        <v>140</v>
      </c>
      <c r="BF17" s="13">
        <v>102.97</v>
      </c>
      <c r="BG17" s="13">
        <v>1.03</v>
      </c>
      <c r="BH17" s="13">
        <v>1.03</v>
      </c>
      <c r="BI17" s="13" t="s">
        <v>577</v>
      </c>
      <c r="BJ17" s="13" t="s">
        <v>578</v>
      </c>
      <c r="BK17" s="13" t="s">
        <v>41</v>
      </c>
      <c r="BL17" s="14">
        <v>46083.665844907409</v>
      </c>
      <c r="BM17" s="13" t="s">
        <v>41</v>
      </c>
    </row>
    <row r="18" spans="1:65" ht="16.5">
      <c r="A18" s="10" t="s">
        <v>545</v>
      </c>
      <c r="B18" s="2" t="s">
        <v>32</v>
      </c>
      <c r="C18" s="2" t="s">
        <v>33</v>
      </c>
      <c r="D18" s="2" t="s">
        <v>546</v>
      </c>
      <c r="E18" s="10" t="s">
        <v>547</v>
      </c>
      <c r="F18" s="2" t="s">
        <v>548</v>
      </c>
      <c r="G18" s="2" t="s">
        <v>508</v>
      </c>
      <c r="H18" s="2" t="s">
        <v>28</v>
      </c>
      <c r="I18" s="10" t="s">
        <v>549</v>
      </c>
      <c r="J18" s="2" t="s">
        <v>159</v>
      </c>
      <c r="K18" s="2" t="s">
        <v>426</v>
      </c>
      <c r="L18" s="2" t="s">
        <v>27</v>
      </c>
      <c r="M18" s="2" t="s">
        <v>550</v>
      </c>
      <c r="N18" s="2">
        <v>92500</v>
      </c>
      <c r="O18" s="10" t="s">
        <v>189</v>
      </c>
      <c r="P18" s="10">
        <v>5550</v>
      </c>
      <c r="Q18" s="10">
        <v>98050</v>
      </c>
      <c r="R18" s="2"/>
      <c r="S18" s="2"/>
      <c r="T18" s="4" t="s">
        <v>93</v>
      </c>
      <c r="U18" s="2" t="s">
        <v>51</v>
      </c>
      <c r="V18" s="4" t="s">
        <v>52</v>
      </c>
      <c r="W18" s="2" t="s">
        <v>32</v>
      </c>
      <c r="X18" s="2" t="s">
        <v>33</v>
      </c>
      <c r="Y18" s="2" t="s">
        <v>94</v>
      </c>
      <c r="Z18" s="2" t="s">
        <v>35</v>
      </c>
      <c r="AA18" s="2" t="s">
        <v>36</v>
      </c>
      <c r="AB18" s="4" t="s">
        <v>37</v>
      </c>
      <c r="AC18" s="2"/>
      <c r="AD18" s="2"/>
      <c r="AE18" s="2"/>
      <c r="AF18" s="2"/>
      <c r="AG18" s="2">
        <v>22.82</v>
      </c>
      <c r="AH18" s="4" t="s">
        <v>38</v>
      </c>
      <c r="AI18" s="4">
        <v>0.68</v>
      </c>
      <c r="AJ18" s="4">
        <v>23.5</v>
      </c>
      <c r="AK18" s="2" t="s">
        <v>39</v>
      </c>
      <c r="AL18" s="4" t="s">
        <v>40</v>
      </c>
      <c r="AM18" s="2" t="s">
        <v>41</v>
      </c>
      <c r="AN18" s="2" t="s">
        <v>42</v>
      </c>
      <c r="AO18" s="2" t="s">
        <v>41</v>
      </c>
      <c r="AP18" s="2" t="s">
        <v>53</v>
      </c>
      <c r="AQ18" s="2"/>
      <c r="AR18" s="7" t="s">
        <v>481</v>
      </c>
      <c r="AS18" s="2" t="s">
        <v>493</v>
      </c>
      <c r="AT18" s="2" t="s">
        <v>551</v>
      </c>
      <c r="AV18" s="13" t="s">
        <v>92</v>
      </c>
      <c r="AW18" s="13" t="s">
        <v>571</v>
      </c>
      <c r="AX18" s="13" t="s">
        <v>39</v>
      </c>
      <c r="AY18" s="13"/>
      <c r="AZ18" s="13" t="s">
        <v>445</v>
      </c>
      <c r="BA18" s="13" t="s">
        <v>604</v>
      </c>
      <c r="BB18" s="13" t="s">
        <v>605</v>
      </c>
      <c r="BC18" s="14">
        <v>46057.606747685182</v>
      </c>
      <c r="BD18" s="13" t="s">
        <v>438</v>
      </c>
      <c r="BE18" s="13" t="s">
        <v>439</v>
      </c>
      <c r="BF18" s="13">
        <v>49557.08</v>
      </c>
      <c r="BG18" s="13">
        <v>1486.71</v>
      </c>
      <c r="BH18" s="13">
        <v>1486.71</v>
      </c>
      <c r="BI18" s="13" t="s">
        <v>577</v>
      </c>
      <c r="BJ18" s="13" t="s">
        <v>578</v>
      </c>
      <c r="BK18" s="13" t="s">
        <v>41</v>
      </c>
      <c r="BL18" s="14">
        <v>46083.665844907409</v>
      </c>
      <c r="BM18" s="13" t="s">
        <v>41</v>
      </c>
    </row>
    <row r="19" spans="1:65" ht="14.25">
      <c r="A19" s="2" t="s">
        <v>552</v>
      </c>
      <c r="B19" s="2" t="s">
        <v>32</v>
      </c>
      <c r="C19" s="2" t="s">
        <v>33</v>
      </c>
      <c r="D19" s="2" t="s">
        <v>546</v>
      </c>
      <c r="E19" s="2" t="s">
        <v>547</v>
      </c>
      <c r="F19" s="2" t="s">
        <v>553</v>
      </c>
      <c r="G19" s="2" t="s">
        <v>508</v>
      </c>
      <c r="H19" s="2" t="s">
        <v>28</v>
      </c>
      <c r="I19" s="2" t="s">
        <v>549</v>
      </c>
      <c r="J19" s="2" t="s">
        <v>159</v>
      </c>
      <c r="K19" s="2" t="s">
        <v>426</v>
      </c>
      <c r="L19" s="2" t="s">
        <v>335</v>
      </c>
      <c r="M19" s="2" t="s">
        <v>550</v>
      </c>
      <c r="N19" s="2">
        <v>-92500</v>
      </c>
      <c r="O19" s="2" t="s">
        <v>189</v>
      </c>
      <c r="P19" s="2">
        <v>-5550</v>
      </c>
      <c r="Q19" s="2">
        <v>-98050</v>
      </c>
      <c r="R19" s="2"/>
      <c r="S19" s="2"/>
      <c r="T19" s="4" t="s">
        <v>96</v>
      </c>
      <c r="U19" s="2" t="s">
        <v>97</v>
      </c>
      <c r="V19" s="4" t="s">
        <v>98</v>
      </c>
      <c r="W19" s="2" t="s">
        <v>32</v>
      </c>
      <c r="X19" s="2" t="s">
        <v>33</v>
      </c>
      <c r="Y19" s="2" t="s">
        <v>99</v>
      </c>
      <c r="Z19" s="2" t="s">
        <v>100</v>
      </c>
      <c r="AA19" s="2" t="s">
        <v>101</v>
      </c>
      <c r="AB19" s="4" t="s">
        <v>102</v>
      </c>
      <c r="AC19" s="2" t="s">
        <v>103</v>
      </c>
      <c r="AD19" s="2" t="s">
        <v>104</v>
      </c>
      <c r="AE19" s="2" t="s">
        <v>105</v>
      </c>
      <c r="AF19" s="2" t="s">
        <v>106</v>
      </c>
      <c r="AG19" s="2">
        <v>433.65</v>
      </c>
      <c r="AH19" s="4" t="s">
        <v>107</v>
      </c>
      <c r="AI19" s="4">
        <v>56.38</v>
      </c>
      <c r="AJ19" s="4">
        <v>490.03</v>
      </c>
      <c r="AK19" s="2" t="s">
        <v>39</v>
      </c>
      <c r="AL19" s="4" t="s">
        <v>76</v>
      </c>
      <c r="AM19" s="2" t="s">
        <v>41</v>
      </c>
      <c r="AN19" s="2" t="s">
        <v>42</v>
      </c>
      <c r="AO19" s="2" t="s">
        <v>41</v>
      </c>
      <c r="AP19" s="2" t="s">
        <v>108</v>
      </c>
      <c r="AQ19" s="2" t="s">
        <v>109</v>
      </c>
      <c r="AS19" s="2" t="s">
        <v>493</v>
      </c>
      <c r="AT19" s="2" t="s">
        <v>554</v>
      </c>
      <c r="AV19" s="13" t="s">
        <v>95</v>
      </c>
      <c r="AW19" s="13" t="s">
        <v>571</v>
      </c>
      <c r="AX19" s="13" t="s">
        <v>39</v>
      </c>
      <c r="AY19" s="13"/>
      <c r="AZ19" s="13" t="s">
        <v>475</v>
      </c>
      <c r="BA19" s="13" t="s">
        <v>606</v>
      </c>
      <c r="BB19" s="13" t="s">
        <v>607</v>
      </c>
      <c r="BC19" s="14">
        <v>46054.669618055559</v>
      </c>
      <c r="BD19" s="13" t="s">
        <v>476</v>
      </c>
      <c r="BE19" s="13" t="s">
        <v>477</v>
      </c>
      <c r="BF19" s="13">
        <v>49.31</v>
      </c>
      <c r="BG19" s="13">
        <v>4.4400000000000004</v>
      </c>
      <c r="BH19" s="13">
        <v>4.4400000000000004</v>
      </c>
      <c r="BI19" s="13" t="s">
        <v>40</v>
      </c>
      <c r="BJ19" s="13" t="s">
        <v>608</v>
      </c>
      <c r="BK19" s="13" t="s">
        <v>41</v>
      </c>
      <c r="BL19" s="14">
        <v>46083.659710648149</v>
      </c>
      <c r="BM19" s="13" t="s">
        <v>41</v>
      </c>
    </row>
    <row r="20" spans="1:65" ht="14.25">
      <c r="A20" s="2" t="s">
        <v>555</v>
      </c>
      <c r="B20" s="2" t="s">
        <v>32</v>
      </c>
      <c r="C20" s="2" t="s">
        <v>33</v>
      </c>
      <c r="D20" s="2" t="s">
        <v>546</v>
      </c>
      <c r="E20" s="2" t="s">
        <v>547</v>
      </c>
      <c r="F20" s="2" t="s">
        <v>556</v>
      </c>
      <c r="G20" s="2" t="s">
        <v>508</v>
      </c>
      <c r="H20" s="2" t="s">
        <v>28</v>
      </c>
      <c r="I20" s="2" t="s">
        <v>549</v>
      </c>
      <c r="J20" s="2" t="s">
        <v>159</v>
      </c>
      <c r="K20" s="2" t="s">
        <v>426</v>
      </c>
      <c r="L20" s="2" t="s">
        <v>27</v>
      </c>
      <c r="M20" s="2" t="s">
        <v>550</v>
      </c>
      <c r="N20" s="2">
        <v>92500</v>
      </c>
      <c r="O20" s="2" t="s">
        <v>189</v>
      </c>
      <c r="P20" s="2">
        <v>5550</v>
      </c>
      <c r="Q20" s="2">
        <v>98050</v>
      </c>
      <c r="R20" s="2"/>
      <c r="S20" s="2"/>
      <c r="T20" s="4" t="s">
        <v>96</v>
      </c>
      <c r="U20" s="2" t="s">
        <v>97</v>
      </c>
      <c r="V20" s="4" t="s">
        <v>98</v>
      </c>
      <c r="W20" s="2" t="s">
        <v>32</v>
      </c>
      <c r="X20" s="2" t="s">
        <v>33</v>
      </c>
      <c r="Y20" s="2" t="s">
        <v>99</v>
      </c>
      <c r="Z20" s="2" t="s">
        <v>100</v>
      </c>
      <c r="AA20" s="2" t="s">
        <v>101</v>
      </c>
      <c r="AB20" s="4" t="s">
        <v>102</v>
      </c>
      <c r="AC20" s="2"/>
      <c r="AD20" s="2"/>
      <c r="AE20" s="2"/>
      <c r="AF20" s="2"/>
      <c r="AG20" s="2">
        <v>-21.68</v>
      </c>
      <c r="AH20" s="4" t="s">
        <v>107</v>
      </c>
      <c r="AI20" s="4">
        <v>-2.82</v>
      </c>
      <c r="AJ20" s="4">
        <v>-24.5</v>
      </c>
      <c r="AK20" s="2" t="s">
        <v>39</v>
      </c>
      <c r="AL20" s="4" t="s">
        <v>76</v>
      </c>
      <c r="AM20" s="2" t="s">
        <v>41</v>
      </c>
      <c r="AN20" s="2" t="s">
        <v>42</v>
      </c>
      <c r="AO20" s="2" t="s">
        <v>41</v>
      </c>
      <c r="AP20" s="2" t="s">
        <v>108</v>
      </c>
      <c r="AQ20" s="2" t="s">
        <v>109</v>
      </c>
      <c r="AS20" s="2" t="s">
        <v>493</v>
      </c>
      <c r="AT20" s="2" t="s">
        <v>557</v>
      </c>
      <c r="AV20" s="13" t="s">
        <v>110</v>
      </c>
      <c r="AW20" s="13" t="s">
        <v>571</v>
      </c>
      <c r="AX20" s="13" t="s">
        <v>39</v>
      </c>
      <c r="AY20" s="13"/>
      <c r="AZ20" s="13" t="s">
        <v>55</v>
      </c>
      <c r="BA20" s="13" t="s">
        <v>609</v>
      </c>
      <c r="BB20" s="13" t="s">
        <v>610</v>
      </c>
      <c r="BC20" s="14">
        <v>46081.743680555555</v>
      </c>
      <c r="BD20" s="13" t="s">
        <v>56</v>
      </c>
      <c r="BE20" s="13" t="s">
        <v>57</v>
      </c>
      <c r="BF20" s="13">
        <v>0.22</v>
      </c>
      <c r="BG20" s="13">
        <v>0.01</v>
      </c>
      <c r="BH20" s="13">
        <v>0.01</v>
      </c>
      <c r="BI20" s="13" t="s">
        <v>40</v>
      </c>
      <c r="BJ20" s="13" t="s">
        <v>608</v>
      </c>
      <c r="BK20" s="13" t="s">
        <v>41</v>
      </c>
      <c r="BL20" s="14">
        <v>46083.659710648149</v>
      </c>
      <c r="BM20" s="13" t="s">
        <v>41</v>
      </c>
    </row>
    <row r="21" spans="1:65" ht="14.25">
      <c r="A21"/>
      <c r="E21"/>
      <c r="I21"/>
      <c r="O21"/>
      <c r="P21"/>
      <c r="Q21"/>
      <c r="R21" s="2"/>
      <c r="S21" s="2"/>
      <c r="T21" s="4" t="s">
        <v>112</v>
      </c>
      <c r="U21" s="2" t="s">
        <v>113</v>
      </c>
      <c r="V21" s="4" t="s">
        <v>114</v>
      </c>
      <c r="W21" s="2" t="s">
        <v>32</v>
      </c>
      <c r="X21" s="2" t="s">
        <v>33</v>
      </c>
      <c r="Y21" s="2" t="s">
        <v>115</v>
      </c>
      <c r="Z21" s="2" t="s">
        <v>116</v>
      </c>
      <c r="AA21" s="2" t="s">
        <v>28</v>
      </c>
      <c r="AB21" s="4" t="s">
        <v>117</v>
      </c>
      <c r="AC21" s="2" t="s">
        <v>118</v>
      </c>
      <c r="AD21" s="2" t="s">
        <v>119</v>
      </c>
      <c r="AE21" s="2" t="s">
        <v>120</v>
      </c>
      <c r="AF21" s="2" t="s">
        <v>121</v>
      </c>
      <c r="AG21" s="2">
        <v>110.62</v>
      </c>
      <c r="AH21" s="4" t="s">
        <v>107</v>
      </c>
      <c r="AI21" s="4">
        <v>14.38</v>
      </c>
      <c r="AJ21" s="4">
        <v>125</v>
      </c>
      <c r="AK21" s="2" t="s">
        <v>39</v>
      </c>
      <c r="AL21" s="4" t="s">
        <v>76</v>
      </c>
      <c r="AM21" s="2" t="s">
        <v>41</v>
      </c>
      <c r="AN21" s="2" t="s">
        <v>42</v>
      </c>
      <c r="AO21" s="2" t="s">
        <v>41</v>
      </c>
      <c r="AP21" s="2" t="s">
        <v>122</v>
      </c>
      <c r="AQ21" s="2" t="s">
        <v>123</v>
      </c>
      <c r="AV21" s="13" t="s">
        <v>111</v>
      </c>
      <c r="AW21" s="13" t="s">
        <v>571</v>
      </c>
      <c r="AX21" s="13" t="s">
        <v>39</v>
      </c>
      <c r="AY21" s="13"/>
      <c r="AZ21" s="13" t="s">
        <v>385</v>
      </c>
      <c r="BA21" s="13" t="s">
        <v>611</v>
      </c>
      <c r="BB21" s="13" t="s">
        <v>612</v>
      </c>
      <c r="BC21" s="14">
        <v>46058.643472222226</v>
      </c>
      <c r="BD21" s="13" t="s">
        <v>368</v>
      </c>
      <c r="BE21" s="13" t="s">
        <v>369</v>
      </c>
      <c r="BF21" s="13">
        <v>28.64</v>
      </c>
      <c r="BG21" s="13">
        <v>0.86</v>
      </c>
      <c r="BH21" s="13">
        <v>0.86</v>
      </c>
      <c r="BI21" s="13" t="s">
        <v>40</v>
      </c>
      <c r="BJ21" s="13" t="s">
        <v>608</v>
      </c>
      <c r="BK21" s="13" t="s">
        <v>41</v>
      </c>
      <c r="BL21" s="14">
        <v>46083.659710648149</v>
      </c>
      <c r="BM21" s="13" t="s">
        <v>41</v>
      </c>
    </row>
    <row r="22" spans="1:65" ht="14.25">
      <c r="A22"/>
      <c r="E22"/>
      <c r="I22"/>
      <c r="O22"/>
      <c r="P22"/>
      <c r="Q22"/>
      <c r="R22" s="2"/>
      <c r="S22" s="2"/>
      <c r="T22" s="4" t="s">
        <v>112</v>
      </c>
      <c r="U22" s="2" t="s">
        <v>113</v>
      </c>
      <c r="V22" s="4" t="s">
        <v>114</v>
      </c>
      <c r="W22" s="2" t="s">
        <v>32</v>
      </c>
      <c r="X22" s="2" t="s">
        <v>33</v>
      </c>
      <c r="Y22" s="2" t="s">
        <v>115</v>
      </c>
      <c r="Z22" s="2" t="s">
        <v>116</v>
      </c>
      <c r="AA22" s="2" t="s">
        <v>28</v>
      </c>
      <c r="AB22" s="4" t="s">
        <v>117</v>
      </c>
      <c r="AC22" s="2"/>
      <c r="AD22" s="2"/>
      <c r="AE22" s="2"/>
      <c r="AF22" s="2"/>
      <c r="AG22" s="2">
        <v>-5.53</v>
      </c>
      <c r="AH22" s="4" t="s">
        <v>107</v>
      </c>
      <c r="AI22" s="4">
        <v>-0.72</v>
      </c>
      <c r="AJ22" s="4">
        <v>-6.25</v>
      </c>
      <c r="AK22" s="2" t="s">
        <v>39</v>
      </c>
      <c r="AL22" s="4" t="s">
        <v>76</v>
      </c>
      <c r="AM22" s="2" t="s">
        <v>41</v>
      </c>
      <c r="AN22" s="2" t="s">
        <v>42</v>
      </c>
      <c r="AO22" s="2" t="s">
        <v>41</v>
      </c>
      <c r="AP22" s="2" t="s">
        <v>122</v>
      </c>
      <c r="AQ22" s="2" t="s">
        <v>123</v>
      </c>
      <c r="AV22" s="13" t="s">
        <v>124</v>
      </c>
      <c r="AW22" s="13" t="s">
        <v>571</v>
      </c>
      <c r="AX22" s="13" t="s">
        <v>39</v>
      </c>
      <c r="AY22" s="13"/>
      <c r="AZ22" s="13" t="s">
        <v>367</v>
      </c>
      <c r="BA22" s="13" t="s">
        <v>611</v>
      </c>
      <c r="BB22" s="13" t="s">
        <v>613</v>
      </c>
      <c r="BC22" s="14">
        <v>46060.667534722219</v>
      </c>
      <c r="BD22" s="13" t="s">
        <v>368</v>
      </c>
      <c r="BE22" s="13" t="s">
        <v>369</v>
      </c>
      <c r="BF22" s="13">
        <v>28.5</v>
      </c>
      <c r="BG22" s="13">
        <v>0.85</v>
      </c>
      <c r="BH22" s="13">
        <v>0.85</v>
      </c>
      <c r="BI22" s="13" t="s">
        <v>40</v>
      </c>
      <c r="BJ22" s="13" t="s">
        <v>608</v>
      </c>
      <c r="BK22" s="13" t="s">
        <v>41</v>
      </c>
      <c r="BL22" s="14">
        <v>46083.659710648149</v>
      </c>
      <c r="BM22" s="13" t="s">
        <v>41</v>
      </c>
    </row>
    <row r="23" spans="1:65" ht="16.5">
      <c r="I23" s="11" t="s">
        <v>558</v>
      </c>
      <c r="J23" s="11"/>
      <c r="K23" s="11"/>
      <c r="L23" s="11"/>
      <c r="M23" s="11"/>
      <c r="N23" s="11"/>
      <c r="O23" s="11"/>
      <c r="P23" s="8">
        <f>SUBTOTAL(9,P9:P22)</f>
        <v>173996.59999999998</v>
      </c>
      <c r="R23" s="2"/>
      <c r="S23" s="2"/>
      <c r="T23" s="4" t="s">
        <v>126</v>
      </c>
      <c r="U23" s="2" t="s">
        <v>127</v>
      </c>
      <c r="V23" s="4" t="s">
        <v>128</v>
      </c>
      <c r="W23" s="2" t="s">
        <v>32</v>
      </c>
      <c r="X23" s="2" t="s">
        <v>33</v>
      </c>
      <c r="Y23" s="2" t="s">
        <v>129</v>
      </c>
      <c r="Z23" s="2" t="s">
        <v>35</v>
      </c>
      <c r="AA23" s="2" t="s">
        <v>36</v>
      </c>
      <c r="AB23" s="4" t="s">
        <v>37</v>
      </c>
      <c r="AC23" s="2"/>
      <c r="AD23" s="2"/>
      <c r="AE23" s="2"/>
      <c r="AF23" s="2"/>
      <c r="AG23" s="2">
        <v>62.72</v>
      </c>
      <c r="AH23" s="4" t="s">
        <v>38</v>
      </c>
      <c r="AI23" s="4">
        <v>1.88</v>
      </c>
      <c r="AJ23" s="4">
        <v>64.599999999999994</v>
      </c>
      <c r="AK23" s="2" t="s">
        <v>39</v>
      </c>
      <c r="AL23" s="4" t="s">
        <v>40</v>
      </c>
      <c r="AM23" s="2" t="s">
        <v>41</v>
      </c>
      <c r="AN23" s="2" t="s">
        <v>42</v>
      </c>
      <c r="AO23" s="2" t="s">
        <v>41</v>
      </c>
      <c r="AP23" s="2" t="s">
        <v>130</v>
      </c>
      <c r="AQ23" s="2"/>
      <c r="AR23" s="7" t="s">
        <v>481</v>
      </c>
      <c r="AV23" s="13" t="s">
        <v>125</v>
      </c>
      <c r="AW23" s="13" t="s">
        <v>571</v>
      </c>
      <c r="AX23" s="13" t="s">
        <v>39</v>
      </c>
      <c r="AY23" s="13"/>
      <c r="AZ23" s="13" t="s">
        <v>479</v>
      </c>
      <c r="BA23" s="13" t="s">
        <v>614</v>
      </c>
      <c r="BB23" s="13" t="s">
        <v>615</v>
      </c>
      <c r="BC23" s="14">
        <v>46054.045902777776</v>
      </c>
      <c r="BD23" s="13" t="s">
        <v>51</v>
      </c>
      <c r="BE23" s="13" t="s">
        <v>52</v>
      </c>
      <c r="BF23" s="13">
        <v>22.82</v>
      </c>
      <c r="BG23" s="13">
        <v>0.68</v>
      </c>
      <c r="BH23" s="13">
        <v>0.68</v>
      </c>
      <c r="BI23" s="13" t="s">
        <v>40</v>
      </c>
      <c r="BJ23" s="13" t="s">
        <v>608</v>
      </c>
      <c r="BK23" s="13" t="s">
        <v>41</v>
      </c>
      <c r="BL23" s="14">
        <v>46083.659710648149</v>
      </c>
      <c r="BM23" s="13" t="s">
        <v>41</v>
      </c>
    </row>
    <row r="24" spans="1:65" ht="16.5">
      <c r="R24" s="2"/>
      <c r="S24" s="2"/>
      <c r="T24" s="4" t="s">
        <v>132</v>
      </c>
      <c r="U24" s="2" t="s">
        <v>127</v>
      </c>
      <c r="V24" s="4" t="s">
        <v>128</v>
      </c>
      <c r="W24" s="2" t="s">
        <v>32</v>
      </c>
      <c r="X24" s="2" t="s">
        <v>33</v>
      </c>
      <c r="Y24" s="2" t="s">
        <v>133</v>
      </c>
      <c r="Z24" s="2" t="s">
        <v>35</v>
      </c>
      <c r="AA24" s="2" t="s">
        <v>36</v>
      </c>
      <c r="AB24" s="4" t="s">
        <v>37</v>
      </c>
      <c r="AC24" s="2"/>
      <c r="AD24" s="2"/>
      <c r="AE24" s="2"/>
      <c r="AF24" s="2"/>
      <c r="AG24" s="2">
        <v>56.93</v>
      </c>
      <c r="AH24" s="4" t="s">
        <v>38</v>
      </c>
      <c r="AI24" s="4">
        <v>1.71</v>
      </c>
      <c r="AJ24" s="4">
        <v>58.64</v>
      </c>
      <c r="AK24" s="2" t="s">
        <v>39</v>
      </c>
      <c r="AL24" s="4" t="s">
        <v>40</v>
      </c>
      <c r="AM24" s="2" t="s">
        <v>41</v>
      </c>
      <c r="AN24" s="2" t="s">
        <v>42</v>
      </c>
      <c r="AO24" s="2" t="s">
        <v>41</v>
      </c>
      <c r="AP24" s="2" t="s">
        <v>130</v>
      </c>
      <c r="AQ24" s="2"/>
      <c r="AR24" s="7" t="s">
        <v>481</v>
      </c>
      <c r="AV24" s="13" t="s">
        <v>131</v>
      </c>
      <c r="AW24" s="13" t="s">
        <v>571</v>
      </c>
      <c r="AX24" s="13" t="s">
        <v>39</v>
      </c>
      <c r="AY24" s="13"/>
      <c r="AZ24" s="13" t="s">
        <v>93</v>
      </c>
      <c r="BA24" s="13" t="s">
        <v>614</v>
      </c>
      <c r="BB24" s="13" t="s">
        <v>616</v>
      </c>
      <c r="BC24" s="14">
        <v>46078.535451388889</v>
      </c>
      <c r="BD24" s="13" t="s">
        <v>51</v>
      </c>
      <c r="BE24" s="13" t="s">
        <v>52</v>
      </c>
      <c r="BF24" s="13">
        <v>22.82</v>
      </c>
      <c r="BG24" s="13">
        <v>0.68</v>
      </c>
      <c r="BH24" s="13">
        <v>0.68</v>
      </c>
      <c r="BI24" s="13" t="s">
        <v>40</v>
      </c>
      <c r="BJ24" s="13" t="s">
        <v>608</v>
      </c>
      <c r="BK24" s="13" t="s">
        <v>41</v>
      </c>
      <c r="BL24" s="14">
        <v>46083.659710648149</v>
      </c>
      <c r="BM24" s="13" t="s">
        <v>41</v>
      </c>
    </row>
    <row r="25" spans="1:65" ht="16.5">
      <c r="R25" s="2"/>
      <c r="S25" s="2"/>
      <c r="T25" s="4" t="s">
        <v>135</v>
      </c>
      <c r="U25" s="2" t="s">
        <v>127</v>
      </c>
      <c r="V25" s="4" t="s">
        <v>128</v>
      </c>
      <c r="W25" s="2" t="s">
        <v>32</v>
      </c>
      <c r="X25" s="2" t="s">
        <v>33</v>
      </c>
      <c r="Y25" s="2" t="s">
        <v>136</v>
      </c>
      <c r="Z25" s="2" t="s">
        <v>35</v>
      </c>
      <c r="AA25" s="2" t="s">
        <v>36</v>
      </c>
      <c r="AB25" s="4" t="s">
        <v>37</v>
      </c>
      <c r="AC25" s="2"/>
      <c r="AD25" s="2"/>
      <c r="AE25" s="2"/>
      <c r="AF25" s="2"/>
      <c r="AG25" s="2">
        <v>80.239999999999995</v>
      </c>
      <c r="AH25" s="4" t="s">
        <v>38</v>
      </c>
      <c r="AI25" s="4">
        <v>2.41</v>
      </c>
      <c r="AJ25" s="4">
        <v>82.65</v>
      </c>
      <c r="AK25" s="2" t="s">
        <v>39</v>
      </c>
      <c r="AL25" s="4" t="s">
        <v>40</v>
      </c>
      <c r="AM25" s="2" t="s">
        <v>41</v>
      </c>
      <c r="AN25" s="2" t="s">
        <v>42</v>
      </c>
      <c r="AO25" s="2" t="s">
        <v>41</v>
      </c>
      <c r="AP25" s="2" t="s">
        <v>130</v>
      </c>
      <c r="AQ25" s="2"/>
      <c r="AR25" s="7" t="s">
        <v>481</v>
      </c>
      <c r="AV25" s="13" t="s">
        <v>134</v>
      </c>
      <c r="AW25" s="13" t="s">
        <v>571</v>
      </c>
      <c r="AX25" s="13" t="s">
        <v>39</v>
      </c>
      <c r="AY25" s="13"/>
      <c r="AZ25" s="13" t="s">
        <v>63</v>
      </c>
      <c r="BA25" s="13" t="s">
        <v>614</v>
      </c>
      <c r="BB25" s="13" t="s">
        <v>617</v>
      </c>
      <c r="BC25" s="14">
        <v>46080.563888888886</v>
      </c>
      <c r="BD25" s="13" t="s">
        <v>51</v>
      </c>
      <c r="BE25" s="13" t="s">
        <v>52</v>
      </c>
      <c r="BF25" s="13">
        <v>22.82</v>
      </c>
      <c r="BG25" s="13">
        <v>0.68</v>
      </c>
      <c r="BH25" s="13">
        <v>0.68</v>
      </c>
      <c r="BI25" s="13" t="s">
        <v>40</v>
      </c>
      <c r="BJ25" s="13" t="s">
        <v>608</v>
      </c>
      <c r="BK25" s="13" t="s">
        <v>41</v>
      </c>
      <c r="BL25" s="14">
        <v>46083.659710648149</v>
      </c>
      <c r="BM25" s="13" t="s">
        <v>41</v>
      </c>
    </row>
    <row r="26" spans="1:65" ht="16.5">
      <c r="R26" s="2"/>
      <c r="S26" s="2"/>
      <c r="T26" s="4" t="s">
        <v>138</v>
      </c>
      <c r="U26" s="2" t="s">
        <v>139</v>
      </c>
      <c r="V26" s="4" t="s">
        <v>140</v>
      </c>
      <c r="W26" s="2" t="s">
        <v>32</v>
      </c>
      <c r="X26" s="2" t="s">
        <v>33</v>
      </c>
      <c r="Y26" s="2" t="s">
        <v>141</v>
      </c>
      <c r="Z26" s="2" t="s">
        <v>142</v>
      </c>
      <c r="AA26" s="2" t="s">
        <v>28</v>
      </c>
      <c r="AB26" s="4" t="s">
        <v>143</v>
      </c>
      <c r="AC26" s="2"/>
      <c r="AD26" s="2" t="s">
        <v>144</v>
      </c>
      <c r="AE26" s="2" t="s">
        <v>27</v>
      </c>
      <c r="AF26" s="2" t="s">
        <v>145</v>
      </c>
      <c r="AG26" s="2">
        <v>102.97</v>
      </c>
      <c r="AH26" s="4" t="s">
        <v>75</v>
      </c>
      <c r="AI26" s="4">
        <v>1.03</v>
      </c>
      <c r="AJ26" s="4">
        <v>104</v>
      </c>
      <c r="AK26" s="2" t="s">
        <v>39</v>
      </c>
      <c r="AL26" s="4" t="s">
        <v>146</v>
      </c>
      <c r="AM26" s="2" t="s">
        <v>41</v>
      </c>
      <c r="AN26" s="2" t="s">
        <v>42</v>
      </c>
      <c r="AO26" s="2" t="s">
        <v>41</v>
      </c>
      <c r="AP26" s="2" t="s">
        <v>147</v>
      </c>
      <c r="AQ26" s="2" t="s">
        <v>148</v>
      </c>
      <c r="AR26" s="7" t="s">
        <v>481</v>
      </c>
      <c r="AV26" s="13" t="s">
        <v>137</v>
      </c>
      <c r="AW26" s="13" t="s">
        <v>571</v>
      </c>
      <c r="AX26" s="13" t="s">
        <v>39</v>
      </c>
      <c r="AY26" s="13"/>
      <c r="AZ26" s="13" t="s">
        <v>60</v>
      </c>
      <c r="BA26" s="13" t="s">
        <v>614</v>
      </c>
      <c r="BB26" s="13" t="s">
        <v>618</v>
      </c>
      <c r="BC26" s="14">
        <v>46080.696203703701</v>
      </c>
      <c r="BD26" s="13" t="s">
        <v>51</v>
      </c>
      <c r="BE26" s="13" t="s">
        <v>52</v>
      </c>
      <c r="BF26" s="13">
        <v>20.89</v>
      </c>
      <c r="BG26" s="13">
        <v>0.63</v>
      </c>
      <c r="BH26" s="13">
        <v>0.63</v>
      </c>
      <c r="BI26" s="13" t="s">
        <v>40</v>
      </c>
      <c r="BJ26" s="13" t="s">
        <v>608</v>
      </c>
      <c r="BK26" s="13" t="s">
        <v>41</v>
      </c>
      <c r="BL26" s="14">
        <v>46083.659710648149</v>
      </c>
      <c r="BM26" s="13" t="s">
        <v>41</v>
      </c>
    </row>
    <row r="27" spans="1:65" ht="16.5">
      <c r="R27" s="2"/>
      <c r="S27" s="2"/>
      <c r="T27" s="4" t="s">
        <v>150</v>
      </c>
      <c r="U27" s="2" t="s">
        <v>127</v>
      </c>
      <c r="V27" s="4" t="s">
        <v>128</v>
      </c>
      <c r="W27" s="2" t="s">
        <v>32</v>
      </c>
      <c r="X27" s="2" t="s">
        <v>33</v>
      </c>
      <c r="Y27" s="2" t="s">
        <v>151</v>
      </c>
      <c r="Z27" s="2" t="s">
        <v>35</v>
      </c>
      <c r="AA27" s="2" t="s">
        <v>36</v>
      </c>
      <c r="AB27" s="4" t="s">
        <v>37</v>
      </c>
      <c r="AC27" s="2"/>
      <c r="AD27" s="2"/>
      <c r="AE27" s="2"/>
      <c r="AF27" s="2"/>
      <c r="AG27" s="2">
        <v>86.27</v>
      </c>
      <c r="AH27" s="4" t="s">
        <v>38</v>
      </c>
      <c r="AI27" s="4">
        <v>2.59</v>
      </c>
      <c r="AJ27" s="4">
        <v>88.86</v>
      </c>
      <c r="AK27" s="2" t="s">
        <v>39</v>
      </c>
      <c r="AL27" s="4" t="s">
        <v>40</v>
      </c>
      <c r="AM27" s="2" t="s">
        <v>41</v>
      </c>
      <c r="AN27" s="2" t="s">
        <v>42</v>
      </c>
      <c r="AO27" s="2" t="s">
        <v>41</v>
      </c>
      <c r="AP27" s="2" t="s">
        <v>130</v>
      </c>
      <c r="AQ27" s="2"/>
      <c r="AR27" s="7" t="s">
        <v>481</v>
      </c>
      <c r="AV27" s="13" t="s">
        <v>149</v>
      </c>
      <c r="AW27" s="13" t="s">
        <v>571</v>
      </c>
      <c r="AX27" s="13" t="s">
        <v>39</v>
      </c>
      <c r="AY27" s="13"/>
      <c r="AZ27" s="13" t="s">
        <v>50</v>
      </c>
      <c r="BA27" s="13" t="s">
        <v>614</v>
      </c>
      <c r="BB27" s="13" t="s">
        <v>619</v>
      </c>
      <c r="BC27" s="14">
        <v>46081.743680555555</v>
      </c>
      <c r="BD27" s="13" t="s">
        <v>51</v>
      </c>
      <c r="BE27" s="13" t="s">
        <v>52</v>
      </c>
      <c r="BF27" s="13">
        <v>12.69</v>
      </c>
      <c r="BG27" s="13">
        <v>0.38</v>
      </c>
      <c r="BH27" s="13">
        <v>0.38</v>
      </c>
      <c r="BI27" s="13" t="s">
        <v>40</v>
      </c>
      <c r="BJ27" s="13" t="s">
        <v>608</v>
      </c>
      <c r="BK27" s="13" t="s">
        <v>41</v>
      </c>
      <c r="BL27" s="14">
        <v>46083.659710648149</v>
      </c>
      <c r="BM27" s="13" t="s">
        <v>41</v>
      </c>
    </row>
    <row r="28" spans="1:65" ht="14.25">
      <c r="A28"/>
      <c r="E28"/>
      <c r="I28"/>
      <c r="O28"/>
      <c r="P28"/>
      <c r="Q28"/>
      <c r="R28" s="2"/>
      <c r="S28" s="2"/>
      <c r="T28" s="4" t="s">
        <v>153</v>
      </c>
      <c r="U28" s="2" t="s">
        <v>154</v>
      </c>
      <c r="V28" s="4" t="s">
        <v>155</v>
      </c>
      <c r="W28" s="2" t="s">
        <v>32</v>
      </c>
      <c r="X28" s="2" t="s">
        <v>33</v>
      </c>
      <c r="Y28" s="2" t="s">
        <v>156</v>
      </c>
      <c r="Z28" s="2" t="s">
        <v>157</v>
      </c>
      <c r="AA28" s="2" t="s">
        <v>28</v>
      </c>
      <c r="AB28" s="4" t="s">
        <v>158</v>
      </c>
      <c r="AC28" s="2" t="s">
        <v>159</v>
      </c>
      <c r="AD28" s="2" t="s">
        <v>160</v>
      </c>
      <c r="AE28" s="2" t="s">
        <v>27</v>
      </c>
      <c r="AF28" s="2" t="s">
        <v>161</v>
      </c>
      <c r="AG28" s="2">
        <v>3000</v>
      </c>
      <c r="AH28" s="4" t="s">
        <v>162</v>
      </c>
      <c r="AI28" s="4">
        <v>0</v>
      </c>
      <c r="AJ28" s="4">
        <v>3000</v>
      </c>
      <c r="AK28" s="2" t="s">
        <v>39</v>
      </c>
      <c r="AL28" s="4" t="s">
        <v>76</v>
      </c>
      <c r="AM28" s="2" t="s">
        <v>41</v>
      </c>
      <c r="AN28" s="2" t="s">
        <v>42</v>
      </c>
      <c r="AO28" s="2" t="s">
        <v>41</v>
      </c>
      <c r="AP28" s="2" t="s">
        <v>163</v>
      </c>
      <c r="AQ28" s="2" t="s">
        <v>164</v>
      </c>
      <c r="AV28" s="13" t="s">
        <v>152</v>
      </c>
      <c r="AW28" s="13" t="s">
        <v>571</v>
      </c>
      <c r="AX28" s="13" t="s">
        <v>39</v>
      </c>
      <c r="AY28" s="13"/>
      <c r="AZ28" s="13" t="s">
        <v>471</v>
      </c>
      <c r="BA28" s="13" t="s">
        <v>620</v>
      </c>
      <c r="BB28" s="13" t="s">
        <v>621</v>
      </c>
      <c r="BC28" s="14">
        <v>46054.669618055559</v>
      </c>
      <c r="BD28" s="13" t="s">
        <v>472</v>
      </c>
      <c r="BE28" s="13" t="s">
        <v>473</v>
      </c>
      <c r="BF28" s="13">
        <v>8.6199999999999992</v>
      </c>
      <c r="BG28" s="13">
        <v>0.78</v>
      </c>
      <c r="BH28" s="13">
        <v>0.78</v>
      </c>
      <c r="BI28" s="13" t="s">
        <v>40</v>
      </c>
      <c r="BJ28" s="13" t="s">
        <v>608</v>
      </c>
      <c r="BK28" s="13" t="s">
        <v>41</v>
      </c>
      <c r="BL28" s="14">
        <v>46083.659710648149</v>
      </c>
      <c r="BM28" s="13" t="s">
        <v>41</v>
      </c>
    </row>
    <row r="29" spans="1:65" ht="14.25">
      <c r="A29"/>
      <c r="E29"/>
      <c r="I29"/>
      <c r="O29"/>
      <c r="P29"/>
      <c r="Q29"/>
      <c r="R29" s="2"/>
      <c r="S29" s="2"/>
      <c r="T29" s="4" t="s">
        <v>166</v>
      </c>
      <c r="U29" s="2" t="s">
        <v>167</v>
      </c>
      <c r="V29" s="4" t="s">
        <v>168</v>
      </c>
      <c r="W29" s="2" t="s">
        <v>32</v>
      </c>
      <c r="X29" s="2" t="s">
        <v>33</v>
      </c>
      <c r="Y29" s="2" t="s">
        <v>169</v>
      </c>
      <c r="Z29" s="2" t="s">
        <v>170</v>
      </c>
      <c r="AA29" s="2" t="s">
        <v>28</v>
      </c>
      <c r="AB29" s="4" t="s">
        <v>171</v>
      </c>
      <c r="AC29" s="2"/>
      <c r="AD29" s="2" t="s">
        <v>172</v>
      </c>
      <c r="AE29" s="2" t="s">
        <v>173</v>
      </c>
      <c r="AF29" s="2" t="s">
        <v>174</v>
      </c>
      <c r="AG29" s="2">
        <v>59.41</v>
      </c>
      <c r="AH29" s="4" t="s">
        <v>75</v>
      </c>
      <c r="AI29" s="4">
        <v>0.59</v>
      </c>
      <c r="AJ29" s="4">
        <v>60</v>
      </c>
      <c r="AK29" s="2" t="s">
        <v>39</v>
      </c>
      <c r="AL29" s="4" t="s">
        <v>76</v>
      </c>
      <c r="AM29" s="2" t="s">
        <v>41</v>
      </c>
      <c r="AN29" s="2" t="s">
        <v>42</v>
      </c>
      <c r="AO29" s="2" t="s">
        <v>41</v>
      </c>
      <c r="AP29" s="2" t="s">
        <v>175</v>
      </c>
      <c r="AQ29" s="2" t="s">
        <v>176</v>
      </c>
      <c r="AV29" s="13" t="s">
        <v>165</v>
      </c>
      <c r="AW29" s="13" t="s">
        <v>571</v>
      </c>
      <c r="AX29" s="13" t="s">
        <v>39</v>
      </c>
      <c r="AY29" s="13"/>
      <c r="AZ29" s="13" t="s">
        <v>464</v>
      </c>
      <c r="BA29" s="13" t="s">
        <v>622</v>
      </c>
      <c r="BB29" s="13" t="s">
        <v>623</v>
      </c>
      <c r="BC29" s="14">
        <v>46055.681180555555</v>
      </c>
      <c r="BD29" s="13" t="s">
        <v>127</v>
      </c>
      <c r="BE29" s="13" t="s">
        <v>128</v>
      </c>
      <c r="BF29" s="13">
        <v>62.72</v>
      </c>
      <c r="BG29" s="13">
        <v>1.88</v>
      </c>
      <c r="BH29" s="13">
        <v>1.88</v>
      </c>
      <c r="BI29" s="13" t="s">
        <v>40</v>
      </c>
      <c r="BJ29" s="13" t="s">
        <v>608</v>
      </c>
      <c r="BK29" s="13" t="s">
        <v>41</v>
      </c>
      <c r="BL29" s="14">
        <v>46083.659710648149</v>
      </c>
      <c r="BM29" s="13" t="s">
        <v>41</v>
      </c>
    </row>
    <row r="30" spans="1:65" ht="16.5">
      <c r="R30" s="2"/>
      <c r="S30" s="2"/>
      <c r="T30" s="4" t="s">
        <v>178</v>
      </c>
      <c r="U30" s="2" t="s">
        <v>127</v>
      </c>
      <c r="V30" s="4" t="s">
        <v>128</v>
      </c>
      <c r="W30" s="2" t="s">
        <v>32</v>
      </c>
      <c r="X30" s="2" t="s">
        <v>33</v>
      </c>
      <c r="Y30" s="2" t="s">
        <v>179</v>
      </c>
      <c r="Z30" s="2" t="s">
        <v>35</v>
      </c>
      <c r="AA30" s="2" t="s">
        <v>36</v>
      </c>
      <c r="AB30" s="4" t="s">
        <v>37</v>
      </c>
      <c r="AC30" s="2"/>
      <c r="AD30" s="2"/>
      <c r="AE30" s="2"/>
      <c r="AF30" s="2"/>
      <c r="AG30" s="2">
        <v>65.12</v>
      </c>
      <c r="AH30" s="4" t="s">
        <v>38</v>
      </c>
      <c r="AI30" s="4">
        <v>1.95</v>
      </c>
      <c r="AJ30" s="4">
        <v>67.069999999999993</v>
      </c>
      <c r="AK30" s="2" t="s">
        <v>39</v>
      </c>
      <c r="AL30" s="4" t="s">
        <v>40</v>
      </c>
      <c r="AM30" s="2" t="s">
        <v>41</v>
      </c>
      <c r="AN30" s="2" t="s">
        <v>42</v>
      </c>
      <c r="AO30" s="2" t="s">
        <v>41</v>
      </c>
      <c r="AP30" s="2" t="s">
        <v>130</v>
      </c>
      <c r="AQ30" s="2"/>
      <c r="AR30" s="7" t="s">
        <v>481</v>
      </c>
      <c r="AV30" s="13" t="s">
        <v>177</v>
      </c>
      <c r="AW30" s="13" t="s">
        <v>571</v>
      </c>
      <c r="AX30" s="13" t="s">
        <v>39</v>
      </c>
      <c r="AY30" s="13"/>
      <c r="AZ30" s="13" t="s">
        <v>455</v>
      </c>
      <c r="BA30" s="13" t="s">
        <v>622</v>
      </c>
      <c r="BB30" s="13" t="s">
        <v>624</v>
      </c>
      <c r="BC30" s="14">
        <v>46056.667175925926</v>
      </c>
      <c r="BD30" s="13" t="s">
        <v>127</v>
      </c>
      <c r="BE30" s="13" t="s">
        <v>128</v>
      </c>
      <c r="BF30" s="13">
        <v>18.46</v>
      </c>
      <c r="BG30" s="13">
        <v>0.55000000000000004</v>
      </c>
      <c r="BH30" s="13">
        <v>0.55000000000000004</v>
      </c>
      <c r="BI30" s="13" t="s">
        <v>40</v>
      </c>
      <c r="BJ30" s="13" t="s">
        <v>608</v>
      </c>
      <c r="BK30" s="13" t="s">
        <v>41</v>
      </c>
      <c r="BL30" s="14">
        <v>46083.659710648149</v>
      </c>
      <c r="BM30" s="13" t="s">
        <v>41</v>
      </c>
    </row>
    <row r="31" spans="1:65" ht="14.25">
      <c r="A31"/>
      <c r="E31"/>
      <c r="I31"/>
      <c r="O31"/>
      <c r="P31"/>
      <c r="Q31"/>
      <c r="R31" s="2"/>
      <c r="S31" s="2"/>
      <c r="T31" s="4" t="s">
        <v>181</v>
      </c>
      <c r="U31" s="2" t="s">
        <v>182</v>
      </c>
      <c r="V31" s="4" t="s">
        <v>183</v>
      </c>
      <c r="W31" s="2" t="s">
        <v>32</v>
      </c>
      <c r="X31" s="2" t="s">
        <v>33</v>
      </c>
      <c r="Y31" s="2" t="s">
        <v>184</v>
      </c>
      <c r="Z31" s="2" t="s">
        <v>185</v>
      </c>
      <c r="AA31" s="2" t="s">
        <v>28</v>
      </c>
      <c r="AB31" s="4" t="s">
        <v>186</v>
      </c>
      <c r="AC31" s="2"/>
      <c r="AD31" s="2" t="s">
        <v>89</v>
      </c>
      <c r="AE31" s="2" t="s">
        <v>187</v>
      </c>
      <c r="AF31" s="2" t="s">
        <v>188</v>
      </c>
      <c r="AG31" s="2">
        <v>6.51</v>
      </c>
      <c r="AH31" s="4" t="s">
        <v>189</v>
      </c>
      <c r="AI31" s="4">
        <v>0.39</v>
      </c>
      <c r="AJ31" s="4">
        <v>6.9</v>
      </c>
      <c r="AK31" s="2" t="s">
        <v>39</v>
      </c>
      <c r="AL31" s="4" t="s">
        <v>76</v>
      </c>
      <c r="AM31" s="2" t="s">
        <v>41</v>
      </c>
      <c r="AN31" s="2" t="s">
        <v>42</v>
      </c>
      <c r="AO31" s="2" t="s">
        <v>41</v>
      </c>
      <c r="AP31" s="2" t="s">
        <v>190</v>
      </c>
      <c r="AQ31" s="2"/>
      <c r="AV31" s="13" t="s">
        <v>180</v>
      </c>
      <c r="AW31" s="13" t="s">
        <v>571</v>
      </c>
      <c r="AX31" s="13" t="s">
        <v>39</v>
      </c>
      <c r="AY31" s="13"/>
      <c r="AZ31" s="13" t="s">
        <v>400</v>
      </c>
      <c r="BA31" s="13" t="s">
        <v>622</v>
      </c>
      <c r="BB31" s="13" t="s">
        <v>625</v>
      </c>
      <c r="BC31" s="14">
        <v>46057.732152777775</v>
      </c>
      <c r="BD31" s="13" t="s">
        <v>127</v>
      </c>
      <c r="BE31" s="13" t="s">
        <v>128</v>
      </c>
      <c r="BF31" s="13">
        <v>191.84</v>
      </c>
      <c r="BG31" s="13">
        <v>5.76</v>
      </c>
      <c r="BH31" s="13">
        <v>5.76</v>
      </c>
      <c r="BI31" s="13" t="s">
        <v>40</v>
      </c>
      <c r="BJ31" s="13" t="s">
        <v>608</v>
      </c>
      <c r="BK31" s="13" t="s">
        <v>41</v>
      </c>
      <c r="BL31" s="14">
        <v>46083.659710648149</v>
      </c>
      <c r="BM31" s="13" t="s">
        <v>41</v>
      </c>
    </row>
    <row r="32" spans="1:65" ht="14.25">
      <c r="A32"/>
      <c r="E32"/>
      <c r="I32"/>
      <c r="O32"/>
      <c r="P32"/>
      <c r="Q32"/>
      <c r="R32" s="2"/>
      <c r="S32" s="2"/>
      <c r="T32" s="4" t="s">
        <v>192</v>
      </c>
      <c r="U32" s="2" t="s">
        <v>182</v>
      </c>
      <c r="V32" s="4" t="s">
        <v>183</v>
      </c>
      <c r="W32" s="2" t="s">
        <v>32</v>
      </c>
      <c r="X32" s="2" t="s">
        <v>33</v>
      </c>
      <c r="Y32" s="2" t="s">
        <v>184</v>
      </c>
      <c r="Z32" s="2" t="s">
        <v>185</v>
      </c>
      <c r="AA32" s="2" t="s">
        <v>28</v>
      </c>
      <c r="AB32" s="4" t="s">
        <v>186</v>
      </c>
      <c r="AC32" s="2"/>
      <c r="AD32" s="2" t="s">
        <v>89</v>
      </c>
      <c r="AE32" s="2" t="s">
        <v>187</v>
      </c>
      <c r="AF32" s="2" t="s">
        <v>193</v>
      </c>
      <c r="AG32" s="2">
        <v>89.84</v>
      </c>
      <c r="AH32" s="4" t="s">
        <v>189</v>
      </c>
      <c r="AI32" s="4">
        <v>5.39</v>
      </c>
      <c r="AJ32" s="4">
        <v>95.23</v>
      </c>
      <c r="AK32" s="2" t="s">
        <v>39</v>
      </c>
      <c r="AL32" s="4" t="s">
        <v>76</v>
      </c>
      <c r="AM32" s="2" t="s">
        <v>41</v>
      </c>
      <c r="AN32" s="2" t="s">
        <v>42</v>
      </c>
      <c r="AO32" s="2" t="s">
        <v>41</v>
      </c>
      <c r="AP32" s="2" t="s">
        <v>190</v>
      </c>
      <c r="AQ32" s="2"/>
      <c r="AV32" s="13" t="s">
        <v>191</v>
      </c>
      <c r="AW32" s="13" t="s">
        <v>571</v>
      </c>
      <c r="AX32" s="13" t="s">
        <v>39</v>
      </c>
      <c r="AY32" s="13"/>
      <c r="AZ32" s="13" t="s">
        <v>383</v>
      </c>
      <c r="BA32" s="13" t="s">
        <v>622</v>
      </c>
      <c r="BB32" s="13" t="s">
        <v>626</v>
      </c>
      <c r="BC32" s="14">
        <v>46058.643472222226</v>
      </c>
      <c r="BD32" s="13" t="s">
        <v>127</v>
      </c>
      <c r="BE32" s="13" t="s">
        <v>128</v>
      </c>
      <c r="BF32" s="13">
        <v>40.53</v>
      </c>
      <c r="BG32" s="13">
        <v>1.22</v>
      </c>
      <c r="BH32" s="13">
        <v>1.22</v>
      </c>
      <c r="BI32" s="13" t="s">
        <v>40</v>
      </c>
      <c r="BJ32" s="13" t="s">
        <v>608</v>
      </c>
      <c r="BK32" s="13" t="s">
        <v>41</v>
      </c>
      <c r="BL32" s="14">
        <v>46083.659710648149</v>
      </c>
      <c r="BM32" s="13" t="s">
        <v>41</v>
      </c>
    </row>
    <row r="33" spans="1:65" ht="14.25">
      <c r="A33"/>
      <c r="E33"/>
      <c r="I33"/>
      <c r="O33"/>
      <c r="P33"/>
      <c r="Q33"/>
      <c r="R33" s="2"/>
      <c r="S33" s="2"/>
      <c r="T33" s="4" t="s">
        <v>195</v>
      </c>
      <c r="U33" s="2" t="s">
        <v>196</v>
      </c>
      <c r="V33" s="4" t="s">
        <v>197</v>
      </c>
      <c r="W33" s="2" t="s">
        <v>32</v>
      </c>
      <c r="X33" s="2" t="s">
        <v>33</v>
      </c>
      <c r="Y33" s="2" t="s">
        <v>198</v>
      </c>
      <c r="Z33" s="2" t="s">
        <v>199</v>
      </c>
      <c r="AA33" s="2" t="s">
        <v>200</v>
      </c>
      <c r="AB33" s="4" t="s">
        <v>201</v>
      </c>
      <c r="AC33" s="2"/>
      <c r="AD33" s="2"/>
      <c r="AE33" s="2" t="s">
        <v>27</v>
      </c>
      <c r="AF33" s="2" t="s">
        <v>202</v>
      </c>
      <c r="AG33" s="2">
        <v>62.29</v>
      </c>
      <c r="AH33" s="4" t="s">
        <v>38</v>
      </c>
      <c r="AI33" s="4">
        <v>1.87</v>
      </c>
      <c r="AJ33" s="4">
        <v>64.16</v>
      </c>
      <c r="AK33" s="2" t="s">
        <v>39</v>
      </c>
      <c r="AL33" s="4" t="s">
        <v>76</v>
      </c>
      <c r="AM33" s="2" t="s">
        <v>41</v>
      </c>
      <c r="AN33" s="2" t="s">
        <v>42</v>
      </c>
      <c r="AO33" s="2" t="s">
        <v>41</v>
      </c>
      <c r="AP33" s="2" t="s">
        <v>203</v>
      </c>
      <c r="AQ33" s="2" t="s">
        <v>204</v>
      </c>
      <c r="AV33" s="13" t="s">
        <v>194</v>
      </c>
      <c r="AW33" s="13" t="s">
        <v>571</v>
      </c>
      <c r="AX33" s="13" t="s">
        <v>39</v>
      </c>
      <c r="AY33" s="13"/>
      <c r="AZ33" s="13" t="s">
        <v>381</v>
      </c>
      <c r="BA33" s="13" t="s">
        <v>622</v>
      </c>
      <c r="BB33" s="13" t="s">
        <v>627</v>
      </c>
      <c r="BC33" s="14">
        <v>46058.681168981479</v>
      </c>
      <c r="BD33" s="13" t="s">
        <v>127</v>
      </c>
      <c r="BE33" s="13" t="s">
        <v>128</v>
      </c>
      <c r="BF33" s="13">
        <v>8.0399999999999991</v>
      </c>
      <c r="BG33" s="13">
        <v>0.24</v>
      </c>
      <c r="BH33" s="13">
        <v>0.24</v>
      </c>
      <c r="BI33" s="13" t="s">
        <v>40</v>
      </c>
      <c r="BJ33" s="13" t="s">
        <v>608</v>
      </c>
      <c r="BK33" s="13" t="s">
        <v>41</v>
      </c>
      <c r="BL33" s="14">
        <v>46083.659710648149</v>
      </c>
      <c r="BM33" s="13" t="s">
        <v>41</v>
      </c>
    </row>
    <row r="34" spans="1:65" ht="14.25">
      <c r="A34"/>
      <c r="E34"/>
      <c r="I34"/>
      <c r="O34"/>
      <c r="P34"/>
      <c r="Q34"/>
      <c r="R34" s="2"/>
      <c r="S34" s="2"/>
      <c r="T34" s="4" t="s">
        <v>206</v>
      </c>
      <c r="U34" s="2" t="s">
        <v>207</v>
      </c>
      <c r="V34" s="4" t="s">
        <v>208</v>
      </c>
      <c r="W34" s="2" t="s">
        <v>32</v>
      </c>
      <c r="X34" s="2" t="s">
        <v>33</v>
      </c>
      <c r="Y34" s="2" t="s">
        <v>209</v>
      </c>
      <c r="Z34" s="2" t="s">
        <v>210</v>
      </c>
      <c r="AA34" s="2" t="s">
        <v>200</v>
      </c>
      <c r="AB34" s="4" t="s">
        <v>201</v>
      </c>
      <c r="AC34" s="2"/>
      <c r="AD34" s="2"/>
      <c r="AE34" s="2" t="s">
        <v>27</v>
      </c>
      <c r="AF34" s="2" t="s">
        <v>211</v>
      </c>
      <c r="AG34" s="2">
        <v>65.05</v>
      </c>
      <c r="AH34" s="4" t="s">
        <v>38</v>
      </c>
      <c r="AI34" s="4">
        <v>1.95</v>
      </c>
      <c r="AJ34" s="4">
        <v>67</v>
      </c>
      <c r="AK34" s="2" t="s">
        <v>39</v>
      </c>
      <c r="AL34" s="4" t="s">
        <v>76</v>
      </c>
      <c r="AM34" s="2" t="s">
        <v>41</v>
      </c>
      <c r="AN34" s="2" t="s">
        <v>42</v>
      </c>
      <c r="AO34" s="2" t="s">
        <v>41</v>
      </c>
      <c r="AP34" s="2" t="s">
        <v>212</v>
      </c>
      <c r="AQ34" s="2"/>
      <c r="AV34" s="13" t="s">
        <v>205</v>
      </c>
      <c r="AW34" s="13" t="s">
        <v>571</v>
      </c>
      <c r="AX34" s="13" t="s">
        <v>39</v>
      </c>
      <c r="AY34" s="13"/>
      <c r="AZ34" s="13" t="s">
        <v>379</v>
      </c>
      <c r="BA34" s="13" t="s">
        <v>622</v>
      </c>
      <c r="BB34" s="13" t="s">
        <v>628</v>
      </c>
      <c r="BC34" s="14">
        <v>46058.695601851854</v>
      </c>
      <c r="BD34" s="13" t="s">
        <v>127</v>
      </c>
      <c r="BE34" s="13" t="s">
        <v>128</v>
      </c>
      <c r="BF34" s="13">
        <v>195.53</v>
      </c>
      <c r="BG34" s="13">
        <v>5.87</v>
      </c>
      <c r="BH34" s="13">
        <v>5.87</v>
      </c>
      <c r="BI34" s="13" t="s">
        <v>40</v>
      </c>
      <c r="BJ34" s="13" t="s">
        <v>608</v>
      </c>
      <c r="BK34" s="13" t="s">
        <v>41</v>
      </c>
      <c r="BL34" s="14">
        <v>46083.659710648149</v>
      </c>
      <c r="BM34" s="13" t="s">
        <v>41</v>
      </c>
    </row>
    <row r="35" spans="1:65" ht="14.25">
      <c r="A35"/>
      <c r="E35"/>
      <c r="I35"/>
      <c r="O35"/>
      <c r="P35"/>
      <c r="Q35"/>
      <c r="R35" s="2"/>
      <c r="S35" s="2"/>
      <c r="T35" s="4" t="s">
        <v>206</v>
      </c>
      <c r="U35" s="2" t="s">
        <v>207</v>
      </c>
      <c r="V35" s="4" t="s">
        <v>208</v>
      </c>
      <c r="W35" s="2" t="s">
        <v>32</v>
      </c>
      <c r="X35" s="2" t="s">
        <v>33</v>
      </c>
      <c r="Y35" s="2" t="s">
        <v>209</v>
      </c>
      <c r="Z35" s="2" t="s">
        <v>210</v>
      </c>
      <c r="AA35" s="2" t="s">
        <v>200</v>
      </c>
      <c r="AB35" s="4" t="s">
        <v>201</v>
      </c>
      <c r="AC35" s="2"/>
      <c r="AD35" s="2"/>
      <c r="AE35" s="2"/>
      <c r="AF35" s="2"/>
      <c r="AG35" s="2">
        <v>-1.34</v>
      </c>
      <c r="AH35" s="4" t="s">
        <v>38</v>
      </c>
      <c r="AI35" s="4">
        <v>-0.04</v>
      </c>
      <c r="AJ35" s="4">
        <v>-1.38</v>
      </c>
      <c r="AK35" s="2" t="s">
        <v>39</v>
      </c>
      <c r="AL35" s="4" t="s">
        <v>76</v>
      </c>
      <c r="AM35" s="2" t="s">
        <v>41</v>
      </c>
      <c r="AN35" s="2" t="s">
        <v>42</v>
      </c>
      <c r="AO35" s="2" t="s">
        <v>41</v>
      </c>
      <c r="AP35" s="2" t="s">
        <v>212</v>
      </c>
      <c r="AQ35" s="2"/>
      <c r="AV35" s="13" t="s">
        <v>213</v>
      </c>
      <c r="AW35" s="13" t="s">
        <v>571</v>
      </c>
      <c r="AX35" s="13" t="s">
        <v>39</v>
      </c>
      <c r="AY35" s="13"/>
      <c r="AZ35" s="13" t="s">
        <v>365</v>
      </c>
      <c r="BA35" s="13" t="s">
        <v>622</v>
      </c>
      <c r="BB35" s="13" t="s">
        <v>629</v>
      </c>
      <c r="BC35" s="14">
        <v>46060.667534722219</v>
      </c>
      <c r="BD35" s="13" t="s">
        <v>127</v>
      </c>
      <c r="BE35" s="13" t="s">
        <v>128</v>
      </c>
      <c r="BF35" s="13">
        <v>40.68</v>
      </c>
      <c r="BG35" s="13">
        <v>1.22</v>
      </c>
      <c r="BH35" s="13">
        <v>1.22</v>
      </c>
      <c r="BI35" s="13" t="s">
        <v>40</v>
      </c>
      <c r="BJ35" s="13" t="s">
        <v>608</v>
      </c>
      <c r="BK35" s="13" t="s">
        <v>41</v>
      </c>
      <c r="BL35" s="14">
        <v>46083.659710648149</v>
      </c>
      <c r="BM35" s="13" t="s">
        <v>41</v>
      </c>
    </row>
    <row r="36" spans="1:65" ht="14.25">
      <c r="A36"/>
      <c r="E36"/>
      <c r="I36"/>
      <c r="O36"/>
      <c r="P36"/>
      <c r="Q36"/>
      <c r="R36" s="2"/>
      <c r="S36" s="2"/>
      <c r="T36" s="4" t="s">
        <v>215</v>
      </c>
      <c r="U36" s="2" t="s">
        <v>207</v>
      </c>
      <c r="V36" s="4" t="s">
        <v>208</v>
      </c>
      <c r="W36" s="2" t="s">
        <v>32</v>
      </c>
      <c r="X36" s="2" t="s">
        <v>33</v>
      </c>
      <c r="Y36" s="2" t="s">
        <v>216</v>
      </c>
      <c r="Z36" s="2" t="s">
        <v>210</v>
      </c>
      <c r="AA36" s="2" t="s">
        <v>200</v>
      </c>
      <c r="AB36" s="4" t="s">
        <v>201</v>
      </c>
      <c r="AC36" s="2"/>
      <c r="AD36" s="2"/>
      <c r="AE36" s="2" t="s">
        <v>27</v>
      </c>
      <c r="AF36" s="2" t="s">
        <v>217</v>
      </c>
      <c r="AG36" s="2">
        <v>29.37</v>
      </c>
      <c r="AH36" s="4" t="s">
        <v>38</v>
      </c>
      <c r="AI36" s="4">
        <v>0.88</v>
      </c>
      <c r="AJ36" s="4">
        <v>30.25</v>
      </c>
      <c r="AK36" s="2" t="s">
        <v>39</v>
      </c>
      <c r="AL36" s="4" t="s">
        <v>76</v>
      </c>
      <c r="AM36" s="2" t="s">
        <v>41</v>
      </c>
      <c r="AN36" s="2" t="s">
        <v>42</v>
      </c>
      <c r="AO36" s="2" t="s">
        <v>41</v>
      </c>
      <c r="AP36" s="2" t="s">
        <v>212</v>
      </c>
      <c r="AQ36" s="2"/>
      <c r="AV36" s="13" t="s">
        <v>214</v>
      </c>
      <c r="AW36" s="13" t="s">
        <v>571</v>
      </c>
      <c r="AX36" s="13" t="s">
        <v>39</v>
      </c>
      <c r="AY36" s="13"/>
      <c r="AZ36" s="13" t="s">
        <v>363</v>
      </c>
      <c r="BA36" s="13" t="s">
        <v>622</v>
      </c>
      <c r="BB36" s="13" t="s">
        <v>630</v>
      </c>
      <c r="BC36" s="14">
        <v>46061.676932870374</v>
      </c>
      <c r="BD36" s="13" t="s">
        <v>127</v>
      </c>
      <c r="BE36" s="13" t="s">
        <v>128</v>
      </c>
      <c r="BF36" s="13">
        <v>142.96</v>
      </c>
      <c r="BG36" s="13">
        <v>4.29</v>
      </c>
      <c r="BH36" s="13">
        <v>4.29</v>
      </c>
      <c r="BI36" s="13" t="s">
        <v>40</v>
      </c>
      <c r="BJ36" s="13" t="s">
        <v>608</v>
      </c>
      <c r="BK36" s="13" t="s">
        <v>41</v>
      </c>
      <c r="BL36" s="14">
        <v>46083.659710648149</v>
      </c>
      <c r="BM36" s="13" t="s">
        <v>41</v>
      </c>
    </row>
    <row r="37" spans="1:65" ht="14.25">
      <c r="A37"/>
      <c r="E37"/>
      <c r="I37"/>
      <c r="O37"/>
      <c r="P37"/>
      <c r="Q37"/>
      <c r="R37" s="2"/>
      <c r="S37" s="2"/>
      <c r="T37" s="4" t="s">
        <v>215</v>
      </c>
      <c r="U37" s="2" t="s">
        <v>207</v>
      </c>
      <c r="V37" s="4" t="s">
        <v>208</v>
      </c>
      <c r="W37" s="2" t="s">
        <v>32</v>
      </c>
      <c r="X37" s="2" t="s">
        <v>33</v>
      </c>
      <c r="Y37" s="2" t="s">
        <v>216</v>
      </c>
      <c r="Z37" s="2" t="s">
        <v>210</v>
      </c>
      <c r="AA37" s="2" t="s">
        <v>200</v>
      </c>
      <c r="AB37" s="4" t="s">
        <v>201</v>
      </c>
      <c r="AC37" s="2"/>
      <c r="AD37" s="2"/>
      <c r="AE37" s="2"/>
      <c r="AF37" s="2"/>
      <c r="AG37" s="2">
        <v>-1.94</v>
      </c>
      <c r="AH37" s="4" t="s">
        <v>38</v>
      </c>
      <c r="AI37" s="4">
        <v>-0.06</v>
      </c>
      <c r="AJ37" s="4">
        <v>-2</v>
      </c>
      <c r="AK37" s="2" t="s">
        <v>39</v>
      </c>
      <c r="AL37" s="4" t="s">
        <v>76</v>
      </c>
      <c r="AM37" s="2" t="s">
        <v>41</v>
      </c>
      <c r="AN37" s="2" t="s">
        <v>42</v>
      </c>
      <c r="AO37" s="2" t="s">
        <v>41</v>
      </c>
      <c r="AP37" s="2" t="s">
        <v>212</v>
      </c>
      <c r="AQ37" s="2"/>
      <c r="AV37" s="13" t="s">
        <v>218</v>
      </c>
      <c r="AW37" s="13" t="s">
        <v>571</v>
      </c>
      <c r="AX37" s="13" t="s">
        <v>39</v>
      </c>
      <c r="AY37" s="13"/>
      <c r="AZ37" s="13" t="s">
        <v>361</v>
      </c>
      <c r="BA37" s="13" t="s">
        <v>622</v>
      </c>
      <c r="BB37" s="13" t="s">
        <v>631</v>
      </c>
      <c r="BC37" s="14">
        <v>46061.696944444448</v>
      </c>
      <c r="BD37" s="13" t="s">
        <v>127</v>
      </c>
      <c r="BE37" s="13" t="s">
        <v>128</v>
      </c>
      <c r="BF37" s="13">
        <v>78.09</v>
      </c>
      <c r="BG37" s="13">
        <v>2.34</v>
      </c>
      <c r="BH37" s="13">
        <v>2.34</v>
      </c>
      <c r="BI37" s="13" t="s">
        <v>40</v>
      </c>
      <c r="BJ37" s="13" t="s">
        <v>608</v>
      </c>
      <c r="BK37" s="13" t="s">
        <v>41</v>
      </c>
      <c r="BL37" s="14">
        <v>46083.659710648149</v>
      </c>
      <c r="BM37" s="13" t="s">
        <v>41</v>
      </c>
    </row>
    <row r="38" spans="1:65" ht="14.25">
      <c r="A38"/>
      <c r="E38"/>
      <c r="I38"/>
      <c r="O38"/>
      <c r="P38"/>
      <c r="Q38"/>
      <c r="R38" s="2"/>
      <c r="S38" s="2"/>
      <c r="T38" s="4" t="s">
        <v>220</v>
      </c>
      <c r="U38" s="2" t="s">
        <v>221</v>
      </c>
      <c r="V38" s="4" t="s">
        <v>222</v>
      </c>
      <c r="W38" s="2" t="s">
        <v>32</v>
      </c>
      <c r="X38" s="2" t="s">
        <v>33</v>
      </c>
      <c r="Y38" s="2" t="s">
        <v>223</v>
      </c>
      <c r="Z38" s="2" t="s">
        <v>224</v>
      </c>
      <c r="AA38" s="2" t="s">
        <v>200</v>
      </c>
      <c r="AB38" s="4" t="s">
        <v>201</v>
      </c>
      <c r="AC38" s="2"/>
      <c r="AD38" s="2"/>
      <c r="AE38" s="2" t="s">
        <v>27</v>
      </c>
      <c r="AF38" s="2" t="s">
        <v>225</v>
      </c>
      <c r="AG38" s="2">
        <v>134.82</v>
      </c>
      <c r="AH38" s="4" t="s">
        <v>38</v>
      </c>
      <c r="AI38" s="4">
        <v>4.04</v>
      </c>
      <c r="AJ38" s="4">
        <v>138.86000000000001</v>
      </c>
      <c r="AK38" s="2" t="s">
        <v>39</v>
      </c>
      <c r="AL38" s="4" t="s">
        <v>76</v>
      </c>
      <c r="AM38" s="2" t="s">
        <v>41</v>
      </c>
      <c r="AN38" s="2" t="s">
        <v>42</v>
      </c>
      <c r="AO38" s="2" t="s">
        <v>41</v>
      </c>
      <c r="AP38" s="2" t="s">
        <v>226</v>
      </c>
      <c r="AQ38" s="2"/>
      <c r="AV38" s="13" t="s">
        <v>219</v>
      </c>
      <c r="AW38" s="13" t="s">
        <v>571</v>
      </c>
      <c r="AX38" s="13" t="s">
        <v>39</v>
      </c>
      <c r="AY38" s="13"/>
      <c r="AZ38" s="13" t="s">
        <v>178</v>
      </c>
      <c r="BA38" s="13" t="s">
        <v>622</v>
      </c>
      <c r="BB38" s="13" t="s">
        <v>632</v>
      </c>
      <c r="BC38" s="14">
        <v>46063.74318287037</v>
      </c>
      <c r="BD38" s="13" t="s">
        <v>127</v>
      </c>
      <c r="BE38" s="13" t="s">
        <v>128</v>
      </c>
      <c r="BF38" s="13">
        <v>65.12</v>
      </c>
      <c r="BG38" s="13">
        <v>1.95</v>
      </c>
      <c r="BH38" s="13">
        <v>1.95</v>
      </c>
      <c r="BI38" s="13" t="s">
        <v>40</v>
      </c>
      <c r="BJ38" s="13" t="s">
        <v>608</v>
      </c>
      <c r="BK38" s="13" t="s">
        <v>41</v>
      </c>
      <c r="BL38" s="14">
        <v>46083.659710648149</v>
      </c>
      <c r="BM38" s="13" t="s">
        <v>41</v>
      </c>
    </row>
    <row r="39" spans="1:65" ht="14.25">
      <c r="A39"/>
      <c r="E39"/>
      <c r="I39"/>
      <c r="O39"/>
      <c r="P39"/>
      <c r="Q39"/>
      <c r="R39" s="2"/>
      <c r="S39" s="2"/>
      <c r="T39" s="4" t="s">
        <v>220</v>
      </c>
      <c r="U39" s="2" t="s">
        <v>221</v>
      </c>
      <c r="V39" s="4" t="s">
        <v>222</v>
      </c>
      <c r="W39" s="2" t="s">
        <v>32</v>
      </c>
      <c r="X39" s="2" t="s">
        <v>33</v>
      </c>
      <c r="Y39" s="2" t="s">
        <v>223</v>
      </c>
      <c r="Z39" s="2" t="s">
        <v>224</v>
      </c>
      <c r="AA39" s="2" t="s">
        <v>200</v>
      </c>
      <c r="AB39" s="4" t="s">
        <v>201</v>
      </c>
      <c r="AC39" s="2"/>
      <c r="AD39" s="2"/>
      <c r="AE39" s="2"/>
      <c r="AF39" s="2"/>
      <c r="AG39" s="2">
        <v>-4.8499999999999996</v>
      </c>
      <c r="AH39" s="4" t="s">
        <v>38</v>
      </c>
      <c r="AI39" s="4">
        <v>-0.15</v>
      </c>
      <c r="AJ39" s="4">
        <v>-5</v>
      </c>
      <c r="AK39" s="2" t="s">
        <v>39</v>
      </c>
      <c r="AL39" s="4" t="s">
        <v>76</v>
      </c>
      <c r="AM39" s="2" t="s">
        <v>41</v>
      </c>
      <c r="AN39" s="2" t="s">
        <v>42</v>
      </c>
      <c r="AO39" s="2" t="s">
        <v>41</v>
      </c>
      <c r="AP39" s="2" t="s">
        <v>226</v>
      </c>
      <c r="AQ39" s="2"/>
      <c r="AV39" s="13" t="s">
        <v>227</v>
      </c>
      <c r="AW39" s="13" t="s">
        <v>571</v>
      </c>
      <c r="AX39" s="13" t="s">
        <v>39</v>
      </c>
      <c r="AY39" s="13"/>
      <c r="AZ39" s="13" t="s">
        <v>150</v>
      </c>
      <c r="BA39" s="13" t="s">
        <v>622</v>
      </c>
      <c r="BB39" s="13" t="s">
        <v>633</v>
      </c>
      <c r="BC39" s="14">
        <v>46064.768622685187</v>
      </c>
      <c r="BD39" s="13" t="s">
        <v>127</v>
      </c>
      <c r="BE39" s="13" t="s">
        <v>128</v>
      </c>
      <c r="BF39" s="13">
        <v>86.27</v>
      </c>
      <c r="BG39" s="13">
        <v>2.59</v>
      </c>
      <c r="BH39" s="13">
        <v>2.59</v>
      </c>
      <c r="BI39" s="13" t="s">
        <v>40</v>
      </c>
      <c r="BJ39" s="13" t="s">
        <v>608</v>
      </c>
      <c r="BK39" s="13" t="s">
        <v>41</v>
      </c>
      <c r="BL39" s="14">
        <v>46083.659710648149</v>
      </c>
      <c r="BM39" s="13" t="s">
        <v>41</v>
      </c>
    </row>
    <row r="40" spans="1:65" ht="14.25">
      <c r="A40"/>
      <c r="E40"/>
      <c r="I40"/>
      <c r="O40"/>
      <c r="P40"/>
      <c r="Q40"/>
      <c r="R40" s="2"/>
      <c r="S40" s="2"/>
      <c r="T40" s="4" t="s">
        <v>229</v>
      </c>
      <c r="U40" s="2" t="s">
        <v>221</v>
      </c>
      <c r="V40" s="4" t="s">
        <v>222</v>
      </c>
      <c r="W40" s="2" t="s">
        <v>32</v>
      </c>
      <c r="X40" s="2" t="s">
        <v>33</v>
      </c>
      <c r="Y40" s="2" t="s">
        <v>230</v>
      </c>
      <c r="Z40" s="2" t="s">
        <v>210</v>
      </c>
      <c r="AA40" s="2" t="s">
        <v>200</v>
      </c>
      <c r="AB40" s="4" t="s">
        <v>201</v>
      </c>
      <c r="AC40" s="2"/>
      <c r="AD40" s="2"/>
      <c r="AE40" s="2" t="s">
        <v>27</v>
      </c>
      <c r="AF40" s="2" t="s">
        <v>231</v>
      </c>
      <c r="AG40" s="2">
        <v>42.61</v>
      </c>
      <c r="AH40" s="4" t="s">
        <v>38</v>
      </c>
      <c r="AI40" s="4">
        <v>1.28</v>
      </c>
      <c r="AJ40" s="4">
        <v>43.89</v>
      </c>
      <c r="AK40" s="2" t="s">
        <v>39</v>
      </c>
      <c r="AL40" s="4" t="s">
        <v>76</v>
      </c>
      <c r="AM40" s="2" t="s">
        <v>41</v>
      </c>
      <c r="AN40" s="2" t="s">
        <v>42</v>
      </c>
      <c r="AO40" s="2" t="s">
        <v>41</v>
      </c>
      <c r="AP40" s="2" t="s">
        <v>226</v>
      </c>
      <c r="AQ40" s="2"/>
      <c r="AV40" s="13" t="s">
        <v>228</v>
      </c>
      <c r="AW40" s="13" t="s">
        <v>571</v>
      </c>
      <c r="AX40" s="13" t="s">
        <v>39</v>
      </c>
      <c r="AY40" s="13"/>
      <c r="AZ40" s="13" t="s">
        <v>135</v>
      </c>
      <c r="BA40" s="13" t="s">
        <v>622</v>
      </c>
      <c r="BB40" s="13" t="s">
        <v>634</v>
      </c>
      <c r="BC40" s="14">
        <v>46065.728356481479</v>
      </c>
      <c r="BD40" s="13" t="s">
        <v>127</v>
      </c>
      <c r="BE40" s="13" t="s">
        <v>128</v>
      </c>
      <c r="BF40" s="13">
        <v>80.239999999999995</v>
      </c>
      <c r="BG40" s="13">
        <v>2.41</v>
      </c>
      <c r="BH40" s="13">
        <v>2.41</v>
      </c>
      <c r="BI40" s="13" t="s">
        <v>40</v>
      </c>
      <c r="BJ40" s="13" t="s">
        <v>608</v>
      </c>
      <c r="BK40" s="13" t="s">
        <v>41</v>
      </c>
      <c r="BL40" s="14">
        <v>46083.659710648149</v>
      </c>
      <c r="BM40" s="13" t="s">
        <v>41</v>
      </c>
    </row>
    <row r="41" spans="1:65" ht="14.25">
      <c r="A41"/>
      <c r="E41"/>
      <c r="I41"/>
      <c r="O41"/>
      <c r="P41"/>
      <c r="Q41"/>
      <c r="R41" s="2"/>
      <c r="S41" s="2"/>
      <c r="T41" s="4" t="s">
        <v>233</v>
      </c>
      <c r="U41" s="2" t="s">
        <v>234</v>
      </c>
      <c r="V41" s="4" t="s">
        <v>235</v>
      </c>
      <c r="W41" s="2" t="s">
        <v>32</v>
      </c>
      <c r="X41" s="2" t="s">
        <v>33</v>
      </c>
      <c r="Y41" s="2" t="s">
        <v>236</v>
      </c>
      <c r="Z41" s="2" t="s">
        <v>224</v>
      </c>
      <c r="AA41" s="2" t="s">
        <v>200</v>
      </c>
      <c r="AB41" s="4" t="s">
        <v>201</v>
      </c>
      <c r="AC41" s="2"/>
      <c r="AD41" s="2"/>
      <c r="AE41" s="2" t="s">
        <v>27</v>
      </c>
      <c r="AF41" s="2" t="s">
        <v>237</v>
      </c>
      <c r="AG41" s="2">
        <v>33.72</v>
      </c>
      <c r="AH41" s="4" t="s">
        <v>38</v>
      </c>
      <c r="AI41" s="4">
        <v>1.01</v>
      </c>
      <c r="AJ41" s="4">
        <v>34.729999999999997</v>
      </c>
      <c r="AK41" s="2" t="s">
        <v>39</v>
      </c>
      <c r="AL41" s="4" t="s">
        <v>76</v>
      </c>
      <c r="AM41" s="2" t="s">
        <v>41</v>
      </c>
      <c r="AN41" s="2" t="s">
        <v>42</v>
      </c>
      <c r="AO41" s="2" t="s">
        <v>41</v>
      </c>
      <c r="AP41" s="2" t="s">
        <v>238</v>
      </c>
      <c r="AQ41" s="2"/>
      <c r="AV41" s="13" t="s">
        <v>232</v>
      </c>
      <c r="AW41" s="13" t="s">
        <v>571</v>
      </c>
      <c r="AX41" s="13" t="s">
        <v>39</v>
      </c>
      <c r="AY41" s="13"/>
      <c r="AZ41" s="13" t="s">
        <v>132</v>
      </c>
      <c r="BA41" s="13" t="s">
        <v>622</v>
      </c>
      <c r="BB41" s="13" t="s">
        <v>635</v>
      </c>
      <c r="BC41" s="14">
        <v>46066.722581018519</v>
      </c>
      <c r="BD41" s="13" t="s">
        <v>127</v>
      </c>
      <c r="BE41" s="13" t="s">
        <v>128</v>
      </c>
      <c r="BF41" s="13">
        <v>56.93</v>
      </c>
      <c r="BG41" s="13">
        <v>1.71</v>
      </c>
      <c r="BH41" s="13">
        <v>1.71</v>
      </c>
      <c r="BI41" s="13" t="s">
        <v>40</v>
      </c>
      <c r="BJ41" s="13" t="s">
        <v>608</v>
      </c>
      <c r="BK41" s="13" t="s">
        <v>41</v>
      </c>
      <c r="BL41" s="14">
        <v>46083.659710648149</v>
      </c>
      <c r="BM41" s="13" t="s">
        <v>41</v>
      </c>
    </row>
    <row r="42" spans="1:65" ht="14.25">
      <c r="A42"/>
      <c r="E42"/>
      <c r="I42"/>
      <c r="O42"/>
      <c r="P42"/>
      <c r="Q42"/>
      <c r="R42" s="2"/>
      <c r="S42" s="2"/>
      <c r="T42" s="4" t="s">
        <v>233</v>
      </c>
      <c r="U42" s="2" t="s">
        <v>234</v>
      </c>
      <c r="V42" s="4" t="s">
        <v>235</v>
      </c>
      <c r="W42" s="2" t="s">
        <v>32</v>
      </c>
      <c r="X42" s="2" t="s">
        <v>33</v>
      </c>
      <c r="Y42" s="2" t="s">
        <v>236</v>
      </c>
      <c r="Z42" s="2" t="s">
        <v>224</v>
      </c>
      <c r="AA42" s="2" t="s">
        <v>200</v>
      </c>
      <c r="AB42" s="4" t="s">
        <v>201</v>
      </c>
      <c r="AC42" s="2"/>
      <c r="AD42" s="2"/>
      <c r="AE42" s="2"/>
      <c r="AF42" s="2"/>
      <c r="AG42" s="2">
        <v>-4.8499999999999996</v>
      </c>
      <c r="AH42" s="4" t="s">
        <v>38</v>
      </c>
      <c r="AI42" s="4">
        <v>-0.15</v>
      </c>
      <c r="AJ42" s="4">
        <v>-5</v>
      </c>
      <c r="AK42" s="2" t="s">
        <v>39</v>
      </c>
      <c r="AL42" s="4" t="s">
        <v>76</v>
      </c>
      <c r="AM42" s="2" t="s">
        <v>41</v>
      </c>
      <c r="AN42" s="2" t="s">
        <v>42</v>
      </c>
      <c r="AO42" s="2" t="s">
        <v>41</v>
      </c>
      <c r="AP42" s="2" t="s">
        <v>238</v>
      </c>
      <c r="AQ42" s="2"/>
      <c r="AV42" s="13" t="s">
        <v>239</v>
      </c>
      <c r="AW42" s="13" t="s">
        <v>571</v>
      </c>
      <c r="AX42" s="13" t="s">
        <v>39</v>
      </c>
      <c r="AY42" s="13"/>
      <c r="AZ42" s="13" t="s">
        <v>126</v>
      </c>
      <c r="BA42" s="13" t="s">
        <v>622</v>
      </c>
      <c r="BB42" s="13" t="s">
        <v>636</v>
      </c>
      <c r="BC42" s="14">
        <v>46066.76525462963</v>
      </c>
      <c r="BD42" s="13" t="s">
        <v>127</v>
      </c>
      <c r="BE42" s="13" t="s">
        <v>128</v>
      </c>
      <c r="BF42" s="13">
        <v>62.72</v>
      </c>
      <c r="BG42" s="13">
        <v>1.88</v>
      </c>
      <c r="BH42" s="13">
        <v>1.88</v>
      </c>
      <c r="BI42" s="13" t="s">
        <v>40</v>
      </c>
      <c r="BJ42" s="13" t="s">
        <v>608</v>
      </c>
      <c r="BK42" s="13" t="s">
        <v>41</v>
      </c>
      <c r="BL42" s="14">
        <v>46083.659710648149</v>
      </c>
      <c r="BM42" s="13" t="s">
        <v>41</v>
      </c>
    </row>
    <row r="43" spans="1:65" ht="14.25">
      <c r="A43"/>
      <c r="E43"/>
      <c r="I43"/>
      <c r="O43"/>
      <c r="P43"/>
      <c r="Q43"/>
      <c r="R43" s="2"/>
      <c r="S43" s="2"/>
      <c r="T43" s="4" t="s">
        <v>241</v>
      </c>
      <c r="U43" s="2" t="s">
        <v>221</v>
      </c>
      <c r="V43" s="4" t="s">
        <v>222</v>
      </c>
      <c r="W43" s="2" t="s">
        <v>32</v>
      </c>
      <c r="X43" s="2" t="s">
        <v>33</v>
      </c>
      <c r="Y43" s="2" t="s">
        <v>242</v>
      </c>
      <c r="Z43" s="2" t="s">
        <v>210</v>
      </c>
      <c r="AA43" s="2" t="s">
        <v>200</v>
      </c>
      <c r="AB43" s="4" t="s">
        <v>201</v>
      </c>
      <c r="AC43" s="2"/>
      <c r="AD43" s="2"/>
      <c r="AE43" s="2" t="s">
        <v>27</v>
      </c>
      <c r="AF43" s="2" t="s">
        <v>243</v>
      </c>
      <c r="AG43" s="2">
        <v>122.49</v>
      </c>
      <c r="AH43" s="4" t="s">
        <v>38</v>
      </c>
      <c r="AI43" s="4">
        <v>3.67</v>
      </c>
      <c r="AJ43" s="4">
        <v>126.16</v>
      </c>
      <c r="AK43" s="2" t="s">
        <v>39</v>
      </c>
      <c r="AL43" s="4" t="s">
        <v>76</v>
      </c>
      <c r="AM43" s="2" t="s">
        <v>41</v>
      </c>
      <c r="AN43" s="2" t="s">
        <v>42</v>
      </c>
      <c r="AO43" s="2" t="s">
        <v>41</v>
      </c>
      <c r="AP43" s="2" t="s">
        <v>226</v>
      </c>
      <c r="AQ43" s="2"/>
      <c r="AV43" s="13" t="s">
        <v>240</v>
      </c>
      <c r="AW43" s="13" t="s">
        <v>571</v>
      </c>
      <c r="AX43" s="13" t="s">
        <v>39</v>
      </c>
      <c r="AY43" s="13"/>
      <c r="AZ43" s="13" t="s">
        <v>450</v>
      </c>
      <c r="BA43" s="13" t="s">
        <v>637</v>
      </c>
      <c r="BB43" s="13" t="s">
        <v>638</v>
      </c>
      <c r="BC43" s="14">
        <v>46056.667175925926</v>
      </c>
      <c r="BD43" s="13" t="s">
        <v>451</v>
      </c>
      <c r="BE43" s="13" t="s">
        <v>452</v>
      </c>
      <c r="BF43" s="13">
        <v>20.91</v>
      </c>
      <c r="BG43" s="13">
        <v>1.88</v>
      </c>
      <c r="BH43" s="13">
        <v>1.88</v>
      </c>
      <c r="BI43" s="13" t="s">
        <v>40</v>
      </c>
      <c r="BJ43" s="13" t="s">
        <v>608</v>
      </c>
      <c r="BK43" s="13" t="s">
        <v>41</v>
      </c>
      <c r="BL43" s="14">
        <v>46083.659710648149</v>
      </c>
      <c r="BM43" s="13" t="s">
        <v>41</v>
      </c>
    </row>
    <row r="44" spans="1:65" ht="14.25">
      <c r="A44"/>
      <c r="E44"/>
      <c r="I44"/>
      <c r="O44"/>
      <c r="P44"/>
      <c r="Q44"/>
      <c r="R44" s="2"/>
      <c r="S44" s="2"/>
      <c r="T44" s="4" t="s">
        <v>245</v>
      </c>
      <c r="U44" s="2" t="s">
        <v>221</v>
      </c>
      <c r="V44" s="4" t="s">
        <v>222</v>
      </c>
      <c r="W44" s="2" t="s">
        <v>32</v>
      </c>
      <c r="X44" s="2" t="s">
        <v>33</v>
      </c>
      <c r="Y44" s="2" t="s">
        <v>242</v>
      </c>
      <c r="Z44" s="2" t="s">
        <v>224</v>
      </c>
      <c r="AA44" s="2" t="s">
        <v>200</v>
      </c>
      <c r="AB44" s="4" t="s">
        <v>201</v>
      </c>
      <c r="AC44" s="2"/>
      <c r="AD44" s="2"/>
      <c r="AE44" s="2" t="s">
        <v>27</v>
      </c>
      <c r="AF44" s="2" t="s">
        <v>246</v>
      </c>
      <c r="AG44" s="2">
        <v>11.63</v>
      </c>
      <c r="AH44" s="4" t="s">
        <v>38</v>
      </c>
      <c r="AI44" s="4">
        <v>0.35</v>
      </c>
      <c r="AJ44" s="4">
        <v>11.98</v>
      </c>
      <c r="AK44" s="2" t="s">
        <v>39</v>
      </c>
      <c r="AL44" s="4" t="s">
        <v>76</v>
      </c>
      <c r="AM44" s="2" t="s">
        <v>41</v>
      </c>
      <c r="AN44" s="2" t="s">
        <v>42</v>
      </c>
      <c r="AO44" s="2" t="s">
        <v>41</v>
      </c>
      <c r="AP44" s="2" t="s">
        <v>226</v>
      </c>
      <c r="AQ44" s="2"/>
      <c r="AV44" s="13" t="s">
        <v>244</v>
      </c>
      <c r="AW44" s="13" t="s">
        <v>571</v>
      </c>
      <c r="AX44" s="13" t="s">
        <v>39</v>
      </c>
      <c r="AY44" s="13"/>
      <c r="AZ44" s="13" t="s">
        <v>45</v>
      </c>
      <c r="BA44" s="13" t="s">
        <v>639</v>
      </c>
      <c r="BB44" s="13" t="s">
        <v>640</v>
      </c>
      <c r="BC44" s="14">
        <v>46081.743680555555</v>
      </c>
      <c r="BD44" s="13" t="s">
        <v>46</v>
      </c>
      <c r="BE44" s="13" t="s">
        <v>47</v>
      </c>
      <c r="BF44" s="13">
        <v>20.73</v>
      </c>
      <c r="BG44" s="13">
        <v>0.62</v>
      </c>
      <c r="BH44" s="13">
        <v>0.62</v>
      </c>
      <c r="BI44" s="13" t="s">
        <v>40</v>
      </c>
      <c r="BJ44" s="13" t="s">
        <v>608</v>
      </c>
      <c r="BK44" s="13" t="s">
        <v>41</v>
      </c>
      <c r="BL44" s="14">
        <v>46083.659710648149</v>
      </c>
      <c r="BM44" s="13" t="s">
        <v>41</v>
      </c>
    </row>
    <row r="45" spans="1:65" ht="14.25">
      <c r="A45"/>
      <c r="E45"/>
      <c r="I45"/>
      <c r="O45"/>
      <c r="P45"/>
      <c r="Q45"/>
      <c r="R45" s="2"/>
      <c r="S45" s="2"/>
      <c r="T45" s="4" t="s">
        <v>245</v>
      </c>
      <c r="U45" s="2" t="s">
        <v>221</v>
      </c>
      <c r="V45" s="4" t="s">
        <v>222</v>
      </c>
      <c r="W45" s="2" t="s">
        <v>32</v>
      </c>
      <c r="X45" s="2" t="s">
        <v>33</v>
      </c>
      <c r="Y45" s="2" t="s">
        <v>242</v>
      </c>
      <c r="Z45" s="2" t="s">
        <v>224</v>
      </c>
      <c r="AA45" s="2" t="s">
        <v>200</v>
      </c>
      <c r="AB45" s="4" t="s">
        <v>201</v>
      </c>
      <c r="AC45" s="2"/>
      <c r="AD45" s="2"/>
      <c r="AE45" s="2"/>
      <c r="AF45" s="2"/>
      <c r="AG45" s="2">
        <v>-1.45</v>
      </c>
      <c r="AH45" s="4" t="s">
        <v>38</v>
      </c>
      <c r="AI45" s="4">
        <v>-0.04</v>
      </c>
      <c r="AJ45" s="4">
        <v>-1.49</v>
      </c>
      <c r="AK45" s="2" t="s">
        <v>39</v>
      </c>
      <c r="AL45" s="4" t="s">
        <v>76</v>
      </c>
      <c r="AM45" s="2" t="s">
        <v>41</v>
      </c>
      <c r="AN45" s="2" t="s">
        <v>42</v>
      </c>
      <c r="AO45" s="2" t="s">
        <v>41</v>
      </c>
      <c r="AP45" s="2" t="s">
        <v>226</v>
      </c>
      <c r="AQ45" s="2"/>
      <c r="AV45" s="13" t="s">
        <v>247</v>
      </c>
      <c r="AW45" s="13" t="s">
        <v>571</v>
      </c>
      <c r="AX45" s="13" t="s">
        <v>39</v>
      </c>
      <c r="AY45" s="13"/>
      <c r="AZ45" s="13" t="s">
        <v>29</v>
      </c>
      <c r="BA45" s="13" t="s">
        <v>641</v>
      </c>
      <c r="BB45" s="13" t="s">
        <v>642</v>
      </c>
      <c r="BC45" s="14">
        <v>46081.743680555555</v>
      </c>
      <c r="BD45" s="13" t="s">
        <v>30</v>
      </c>
      <c r="BE45" s="13" t="s">
        <v>31</v>
      </c>
      <c r="BF45" s="13">
        <v>18.63</v>
      </c>
      <c r="BG45" s="13">
        <v>0.56000000000000005</v>
      </c>
      <c r="BH45" s="13">
        <v>0.56000000000000005</v>
      </c>
      <c r="BI45" s="13" t="s">
        <v>40</v>
      </c>
      <c r="BJ45" s="13" t="s">
        <v>608</v>
      </c>
      <c r="BK45" s="13" t="s">
        <v>41</v>
      </c>
      <c r="BL45" s="14">
        <v>46083.659710648149</v>
      </c>
      <c r="BM45" s="13" t="s">
        <v>41</v>
      </c>
    </row>
    <row r="46" spans="1:65" ht="14.25">
      <c r="A46"/>
      <c r="E46"/>
      <c r="I46"/>
      <c r="O46"/>
      <c r="P46"/>
      <c r="Q46"/>
      <c r="R46" s="2"/>
      <c r="S46" s="2"/>
      <c r="T46" s="4" t="s">
        <v>249</v>
      </c>
      <c r="U46" s="2" t="s">
        <v>221</v>
      </c>
      <c r="V46" s="4" t="s">
        <v>222</v>
      </c>
      <c r="W46" s="2" t="s">
        <v>32</v>
      </c>
      <c r="X46" s="2" t="s">
        <v>33</v>
      </c>
      <c r="Y46" s="2" t="s">
        <v>242</v>
      </c>
      <c r="Z46" s="2" t="s">
        <v>210</v>
      </c>
      <c r="AA46" s="2" t="s">
        <v>200</v>
      </c>
      <c r="AB46" s="4" t="s">
        <v>201</v>
      </c>
      <c r="AC46" s="2"/>
      <c r="AD46" s="2"/>
      <c r="AE46" s="2" t="s">
        <v>27</v>
      </c>
      <c r="AF46" s="2" t="s">
        <v>250</v>
      </c>
      <c r="AG46" s="2">
        <v>235.54</v>
      </c>
      <c r="AH46" s="4" t="s">
        <v>38</v>
      </c>
      <c r="AI46" s="4">
        <v>7.07</v>
      </c>
      <c r="AJ46" s="4">
        <v>242.61</v>
      </c>
      <c r="AK46" s="2" t="s">
        <v>39</v>
      </c>
      <c r="AL46" s="4" t="s">
        <v>76</v>
      </c>
      <c r="AM46" s="2" t="s">
        <v>41</v>
      </c>
      <c r="AN46" s="2" t="s">
        <v>42</v>
      </c>
      <c r="AO46" s="2" t="s">
        <v>41</v>
      </c>
      <c r="AP46" s="2" t="s">
        <v>226</v>
      </c>
      <c r="AQ46" s="2"/>
      <c r="AV46" s="13" t="s">
        <v>248</v>
      </c>
      <c r="AW46" s="13" t="s">
        <v>571</v>
      </c>
      <c r="AX46" s="13" t="s">
        <v>39</v>
      </c>
      <c r="AY46" s="13"/>
      <c r="AZ46" s="13" t="s">
        <v>466</v>
      </c>
      <c r="BA46" s="13" t="s">
        <v>643</v>
      </c>
      <c r="BB46" s="13" t="s">
        <v>644</v>
      </c>
      <c r="BC46" s="14">
        <v>46054.669618055559</v>
      </c>
      <c r="BD46" s="13" t="s">
        <v>467</v>
      </c>
      <c r="BE46" s="13" t="s">
        <v>468</v>
      </c>
      <c r="BF46" s="13">
        <v>91.1</v>
      </c>
      <c r="BG46" s="13">
        <v>8.1999999999999993</v>
      </c>
      <c r="BH46" s="13">
        <v>8.1999999999999993</v>
      </c>
      <c r="BI46" s="13" t="s">
        <v>40</v>
      </c>
      <c r="BJ46" s="13" t="s">
        <v>608</v>
      </c>
      <c r="BK46" s="13" t="s">
        <v>41</v>
      </c>
      <c r="BL46" s="14">
        <v>46083.659710648149</v>
      </c>
      <c r="BM46" s="13" t="s">
        <v>41</v>
      </c>
    </row>
    <row r="47" spans="1:65" ht="14.25">
      <c r="A47"/>
      <c r="E47"/>
      <c r="I47"/>
      <c r="O47"/>
      <c r="P47"/>
      <c r="Q47"/>
      <c r="R47" s="2"/>
      <c r="S47" s="2"/>
      <c r="T47" s="4" t="s">
        <v>252</v>
      </c>
      <c r="U47" s="2" t="s">
        <v>253</v>
      </c>
      <c r="V47" s="4" t="s">
        <v>254</v>
      </c>
      <c r="W47" s="2" t="s">
        <v>32</v>
      </c>
      <c r="X47" s="2" t="s">
        <v>33</v>
      </c>
      <c r="Y47" s="2" t="s">
        <v>255</v>
      </c>
      <c r="Z47" s="2" t="s">
        <v>210</v>
      </c>
      <c r="AA47" s="2" t="s">
        <v>200</v>
      </c>
      <c r="AB47" s="4" t="s">
        <v>201</v>
      </c>
      <c r="AC47" s="2"/>
      <c r="AD47" s="2" t="s">
        <v>144</v>
      </c>
      <c r="AE47" s="2" t="s">
        <v>27</v>
      </c>
      <c r="AF47" s="2" t="s">
        <v>256</v>
      </c>
      <c r="AG47" s="2">
        <v>14.9</v>
      </c>
      <c r="AH47" s="4" t="s">
        <v>38</v>
      </c>
      <c r="AI47" s="4">
        <v>0.45</v>
      </c>
      <c r="AJ47" s="4">
        <v>15.35</v>
      </c>
      <c r="AK47" s="2" t="s">
        <v>39</v>
      </c>
      <c r="AL47" s="4" t="s">
        <v>76</v>
      </c>
      <c r="AM47" s="2" t="s">
        <v>41</v>
      </c>
      <c r="AN47" s="2" t="s">
        <v>42</v>
      </c>
      <c r="AO47" s="2" t="s">
        <v>41</v>
      </c>
      <c r="AP47" s="2" t="s">
        <v>257</v>
      </c>
      <c r="AQ47" s="2"/>
      <c r="AV47" s="13" t="s">
        <v>251</v>
      </c>
      <c r="AW47" s="13" t="s">
        <v>571</v>
      </c>
      <c r="AX47" s="13" t="s">
        <v>39</v>
      </c>
      <c r="AY47" s="13"/>
      <c r="AZ47" s="13" t="s">
        <v>410</v>
      </c>
      <c r="BA47" s="13" t="s">
        <v>645</v>
      </c>
      <c r="BB47" s="13" t="s">
        <v>646</v>
      </c>
      <c r="BC47" s="14">
        <v>46057.645624999997</v>
      </c>
      <c r="BD47" s="13" t="s">
        <v>411</v>
      </c>
      <c r="BE47" s="13" t="s">
        <v>412</v>
      </c>
      <c r="BF47" s="13">
        <v>34.86</v>
      </c>
      <c r="BG47" s="13">
        <v>3.14</v>
      </c>
      <c r="BH47" s="13">
        <v>3.14</v>
      </c>
      <c r="BI47" s="13" t="s">
        <v>647</v>
      </c>
      <c r="BJ47" s="13" t="s">
        <v>415</v>
      </c>
      <c r="BK47" s="13" t="s">
        <v>41</v>
      </c>
      <c r="BL47" s="14">
        <v>46083.659710648149</v>
      </c>
      <c r="BM47" s="13" t="s">
        <v>41</v>
      </c>
    </row>
    <row r="48" spans="1:65" ht="14.25">
      <c r="A48"/>
      <c r="E48"/>
      <c r="I48"/>
      <c r="O48"/>
      <c r="P48"/>
      <c r="Q48"/>
      <c r="R48" s="2"/>
      <c r="S48" s="2"/>
      <c r="T48" s="4" t="s">
        <v>259</v>
      </c>
      <c r="U48" s="2" t="s">
        <v>260</v>
      </c>
      <c r="V48" s="4" t="s">
        <v>261</v>
      </c>
      <c r="W48" s="2" t="s">
        <v>32</v>
      </c>
      <c r="X48" s="2" t="s">
        <v>33</v>
      </c>
      <c r="Y48" s="2" t="s">
        <v>255</v>
      </c>
      <c r="Z48" s="2" t="s">
        <v>210</v>
      </c>
      <c r="AA48" s="2" t="s">
        <v>200</v>
      </c>
      <c r="AB48" s="4" t="s">
        <v>201</v>
      </c>
      <c r="AC48" s="2"/>
      <c r="AD48" s="2"/>
      <c r="AE48" s="2" t="s">
        <v>27</v>
      </c>
      <c r="AF48" s="2" t="s">
        <v>247</v>
      </c>
      <c r="AG48" s="2">
        <v>37</v>
      </c>
      <c r="AH48" s="4" t="s">
        <v>38</v>
      </c>
      <c r="AI48" s="4">
        <v>1.1100000000000001</v>
      </c>
      <c r="AJ48" s="4">
        <v>38.11</v>
      </c>
      <c r="AK48" s="2" t="s">
        <v>39</v>
      </c>
      <c r="AL48" s="4" t="s">
        <v>76</v>
      </c>
      <c r="AM48" s="2" t="s">
        <v>41</v>
      </c>
      <c r="AN48" s="2" t="s">
        <v>42</v>
      </c>
      <c r="AO48" s="2" t="s">
        <v>41</v>
      </c>
      <c r="AP48" s="2" t="s">
        <v>262</v>
      </c>
      <c r="AQ48" s="2"/>
      <c r="AV48" s="13" t="s">
        <v>648</v>
      </c>
      <c r="AW48" s="13"/>
      <c r="AX48" s="13"/>
      <c r="AY48" s="13"/>
      <c r="AZ48" s="13"/>
      <c r="BA48" s="13"/>
      <c r="BB48" s="13"/>
      <c r="BC48" s="13"/>
      <c r="BD48" s="13"/>
      <c r="BE48" s="13"/>
      <c r="BF48" s="13">
        <v>89384.63</v>
      </c>
      <c r="BG48" s="13">
        <v>5127.3599999999997</v>
      </c>
      <c r="BH48" s="13">
        <v>5127.3599999999997</v>
      </c>
      <c r="BI48" s="13"/>
      <c r="BJ48" s="13"/>
      <c r="BK48" s="13"/>
      <c r="BL48" s="13"/>
      <c r="BM48" s="13"/>
    </row>
    <row r="49" spans="1:43" ht="14.25">
      <c r="A49"/>
      <c r="E49"/>
      <c r="I49"/>
      <c r="O49"/>
      <c r="P49"/>
      <c r="Q49"/>
      <c r="R49" s="2"/>
      <c r="S49" s="2"/>
      <c r="T49" s="4" t="s">
        <v>263</v>
      </c>
      <c r="U49" s="2" t="s">
        <v>264</v>
      </c>
      <c r="V49" s="4" t="s">
        <v>265</v>
      </c>
      <c r="W49" s="2" t="s">
        <v>32</v>
      </c>
      <c r="X49" s="2" t="s">
        <v>33</v>
      </c>
      <c r="Y49" s="2" t="s">
        <v>255</v>
      </c>
      <c r="Z49" s="2" t="s">
        <v>210</v>
      </c>
      <c r="AA49" s="2" t="s">
        <v>200</v>
      </c>
      <c r="AB49" s="4" t="s">
        <v>201</v>
      </c>
      <c r="AC49" s="2"/>
      <c r="AD49" s="2"/>
      <c r="AE49" s="2" t="s">
        <v>27</v>
      </c>
      <c r="AF49" s="2" t="s">
        <v>266</v>
      </c>
      <c r="AG49" s="2">
        <v>155.86000000000001</v>
      </c>
      <c r="AH49" s="4" t="s">
        <v>38</v>
      </c>
      <c r="AI49" s="4">
        <v>4.68</v>
      </c>
      <c r="AJ49" s="4">
        <v>160.54</v>
      </c>
      <c r="AK49" s="2" t="s">
        <v>39</v>
      </c>
      <c r="AL49" s="4" t="s">
        <v>76</v>
      </c>
      <c r="AM49" s="2" t="s">
        <v>41</v>
      </c>
      <c r="AN49" s="2" t="s">
        <v>42</v>
      </c>
      <c r="AO49" s="2" t="s">
        <v>41</v>
      </c>
      <c r="AP49" s="2" t="s">
        <v>267</v>
      </c>
      <c r="AQ49" s="2"/>
    </row>
    <row r="50" spans="1:43" ht="14.25">
      <c r="A50"/>
      <c r="E50"/>
      <c r="I50"/>
      <c r="O50"/>
      <c r="P50"/>
      <c r="Q50"/>
      <c r="R50" s="2"/>
      <c r="S50" s="2"/>
      <c r="T50" s="4" t="s">
        <v>268</v>
      </c>
      <c r="U50" s="2" t="s">
        <v>269</v>
      </c>
      <c r="V50" s="4" t="s">
        <v>270</v>
      </c>
      <c r="W50" s="2" t="s">
        <v>32</v>
      </c>
      <c r="X50" s="2" t="s">
        <v>33</v>
      </c>
      <c r="Y50" s="2" t="s">
        <v>271</v>
      </c>
      <c r="Z50" s="2" t="s">
        <v>210</v>
      </c>
      <c r="AA50" s="2" t="s">
        <v>200</v>
      </c>
      <c r="AB50" s="4" t="s">
        <v>201</v>
      </c>
      <c r="AC50" s="2"/>
      <c r="AD50" s="2" t="s">
        <v>144</v>
      </c>
      <c r="AE50" s="2" t="s">
        <v>27</v>
      </c>
      <c r="AF50" s="2" t="s">
        <v>272</v>
      </c>
      <c r="AG50" s="2">
        <v>65.19</v>
      </c>
      <c r="AH50" s="4" t="s">
        <v>38</v>
      </c>
      <c r="AI50" s="4">
        <v>1.96</v>
      </c>
      <c r="AJ50" s="4">
        <v>67.150000000000006</v>
      </c>
      <c r="AK50" s="2" t="s">
        <v>39</v>
      </c>
      <c r="AL50" s="4" t="s">
        <v>76</v>
      </c>
      <c r="AM50" s="2" t="s">
        <v>41</v>
      </c>
      <c r="AN50" s="2" t="s">
        <v>42</v>
      </c>
      <c r="AO50" s="2" t="s">
        <v>41</v>
      </c>
      <c r="AP50" s="2" t="s">
        <v>273</v>
      </c>
      <c r="AQ50" s="2"/>
    </row>
    <row r="51" spans="1:43" ht="14.25">
      <c r="A51"/>
      <c r="E51"/>
      <c r="I51"/>
      <c r="O51"/>
      <c r="P51"/>
      <c r="Q51"/>
      <c r="R51" s="2"/>
      <c r="S51" s="2"/>
      <c r="T51" s="4" t="s">
        <v>268</v>
      </c>
      <c r="U51" s="2" t="s">
        <v>269</v>
      </c>
      <c r="V51" s="4" t="s">
        <v>270</v>
      </c>
      <c r="W51" s="2" t="s">
        <v>32</v>
      </c>
      <c r="X51" s="2" t="s">
        <v>33</v>
      </c>
      <c r="Y51" s="2" t="s">
        <v>271</v>
      </c>
      <c r="Z51" s="2" t="s">
        <v>210</v>
      </c>
      <c r="AA51" s="2" t="s">
        <v>200</v>
      </c>
      <c r="AB51" s="4" t="s">
        <v>201</v>
      </c>
      <c r="AC51" s="2"/>
      <c r="AD51" s="2"/>
      <c r="AE51" s="2"/>
      <c r="AF51" s="2"/>
      <c r="AG51" s="2">
        <v>-15.5</v>
      </c>
      <c r="AH51" s="4" t="s">
        <v>38</v>
      </c>
      <c r="AI51" s="4">
        <v>-0.47</v>
      </c>
      <c r="AJ51" s="4">
        <v>-15.97</v>
      </c>
      <c r="AK51" s="2" t="s">
        <v>39</v>
      </c>
      <c r="AL51" s="4" t="s">
        <v>76</v>
      </c>
      <c r="AM51" s="2" t="s">
        <v>41</v>
      </c>
      <c r="AN51" s="2" t="s">
        <v>42</v>
      </c>
      <c r="AO51" s="2" t="s">
        <v>41</v>
      </c>
      <c r="AP51" s="2" t="s">
        <v>273</v>
      </c>
      <c r="AQ51" s="2"/>
    </row>
    <row r="52" spans="1:43" ht="14.25">
      <c r="A52"/>
      <c r="E52"/>
      <c r="I52"/>
      <c r="O52"/>
      <c r="P52"/>
      <c r="Q52"/>
      <c r="R52" s="2"/>
      <c r="S52" s="2"/>
      <c r="T52" s="4" t="s">
        <v>274</v>
      </c>
      <c r="U52" s="2" t="s">
        <v>275</v>
      </c>
      <c r="V52" s="4" t="s">
        <v>276</v>
      </c>
      <c r="W52" s="2" t="s">
        <v>32</v>
      </c>
      <c r="X52" s="2" t="s">
        <v>33</v>
      </c>
      <c r="Y52" s="2" t="s">
        <v>271</v>
      </c>
      <c r="Z52" s="2" t="s">
        <v>210</v>
      </c>
      <c r="AA52" s="2" t="s">
        <v>200</v>
      </c>
      <c r="AB52" s="4" t="s">
        <v>201</v>
      </c>
      <c r="AC52" s="2"/>
      <c r="AD52" s="2" t="s">
        <v>144</v>
      </c>
      <c r="AE52" s="2" t="s">
        <v>27</v>
      </c>
      <c r="AF52" s="2" t="s">
        <v>277</v>
      </c>
      <c r="AG52" s="2">
        <v>36.81</v>
      </c>
      <c r="AH52" s="4" t="s">
        <v>278</v>
      </c>
      <c r="AI52" s="4">
        <v>0</v>
      </c>
      <c r="AJ52" s="4">
        <v>36.81</v>
      </c>
      <c r="AK52" s="2" t="s">
        <v>39</v>
      </c>
      <c r="AL52" s="4" t="s">
        <v>76</v>
      </c>
      <c r="AM52" s="2" t="s">
        <v>41</v>
      </c>
      <c r="AN52" s="2" t="s">
        <v>42</v>
      </c>
      <c r="AO52" s="2" t="s">
        <v>41</v>
      </c>
      <c r="AP52" s="2" t="s">
        <v>279</v>
      </c>
      <c r="AQ52" s="2"/>
    </row>
    <row r="53" spans="1:43" ht="14.25">
      <c r="A53"/>
      <c r="E53"/>
      <c r="I53"/>
      <c r="O53"/>
      <c r="P53"/>
      <c r="Q53"/>
      <c r="R53" s="2"/>
      <c r="S53" s="2"/>
      <c r="T53" s="4" t="s">
        <v>280</v>
      </c>
      <c r="U53" s="2" t="s">
        <v>281</v>
      </c>
      <c r="V53" s="4" t="s">
        <v>282</v>
      </c>
      <c r="W53" s="2" t="s">
        <v>32</v>
      </c>
      <c r="X53" s="2" t="s">
        <v>33</v>
      </c>
      <c r="Y53" s="2" t="s">
        <v>283</v>
      </c>
      <c r="Z53" s="2" t="s">
        <v>210</v>
      </c>
      <c r="AA53" s="2" t="s">
        <v>200</v>
      </c>
      <c r="AB53" s="4" t="s">
        <v>201</v>
      </c>
      <c r="AC53" s="2"/>
      <c r="AD53" s="2"/>
      <c r="AE53" s="2" t="s">
        <v>27</v>
      </c>
      <c r="AF53" s="2" t="s">
        <v>284</v>
      </c>
      <c r="AG53" s="2">
        <v>134.88999999999999</v>
      </c>
      <c r="AH53" s="4" t="s">
        <v>38</v>
      </c>
      <c r="AI53" s="4">
        <v>4.05</v>
      </c>
      <c r="AJ53" s="4">
        <v>138.94</v>
      </c>
      <c r="AK53" s="2" t="s">
        <v>39</v>
      </c>
      <c r="AL53" s="4" t="s">
        <v>76</v>
      </c>
      <c r="AM53" s="2" t="s">
        <v>41</v>
      </c>
      <c r="AN53" s="2" t="s">
        <v>42</v>
      </c>
      <c r="AO53" s="2" t="s">
        <v>41</v>
      </c>
      <c r="AP53" s="2" t="s">
        <v>285</v>
      </c>
      <c r="AQ53" s="2" t="s">
        <v>286</v>
      </c>
    </row>
    <row r="54" spans="1:43" ht="14.25">
      <c r="A54"/>
      <c r="E54"/>
      <c r="I54"/>
      <c r="O54"/>
      <c r="P54"/>
      <c r="Q54"/>
      <c r="R54" s="2"/>
      <c r="S54" s="2"/>
      <c r="T54" s="4" t="s">
        <v>287</v>
      </c>
      <c r="U54" s="2" t="s">
        <v>288</v>
      </c>
      <c r="V54" s="4" t="s">
        <v>289</v>
      </c>
      <c r="W54" s="2" t="s">
        <v>32</v>
      </c>
      <c r="X54" s="2" t="s">
        <v>33</v>
      </c>
      <c r="Y54" s="2" t="s">
        <v>283</v>
      </c>
      <c r="Z54" s="2" t="s">
        <v>210</v>
      </c>
      <c r="AA54" s="2" t="s">
        <v>200</v>
      </c>
      <c r="AB54" s="4" t="s">
        <v>201</v>
      </c>
      <c r="AC54" s="2"/>
      <c r="AD54" s="2"/>
      <c r="AE54" s="2" t="s">
        <v>27</v>
      </c>
      <c r="AF54" s="2" t="s">
        <v>290</v>
      </c>
      <c r="AG54" s="2">
        <v>44.87</v>
      </c>
      <c r="AH54" s="4" t="s">
        <v>38</v>
      </c>
      <c r="AI54" s="4">
        <v>1.35</v>
      </c>
      <c r="AJ54" s="4">
        <v>46.22</v>
      </c>
      <c r="AK54" s="2" t="s">
        <v>39</v>
      </c>
      <c r="AL54" s="4" t="s">
        <v>76</v>
      </c>
      <c r="AM54" s="2" t="s">
        <v>41</v>
      </c>
      <c r="AN54" s="2" t="s">
        <v>42</v>
      </c>
      <c r="AO54" s="2" t="s">
        <v>41</v>
      </c>
      <c r="AP54" s="2" t="s">
        <v>291</v>
      </c>
      <c r="AQ54" s="2"/>
    </row>
    <row r="55" spans="1:43" ht="14.25">
      <c r="A55"/>
      <c r="E55"/>
      <c r="I55"/>
      <c r="O55"/>
      <c r="P55"/>
      <c r="Q55"/>
      <c r="R55" s="2"/>
      <c r="S55" s="2"/>
      <c r="T55" s="4" t="s">
        <v>287</v>
      </c>
      <c r="U55" s="2" t="s">
        <v>288</v>
      </c>
      <c r="V55" s="4" t="s">
        <v>289</v>
      </c>
      <c r="W55" s="2" t="s">
        <v>32</v>
      </c>
      <c r="X55" s="2" t="s">
        <v>33</v>
      </c>
      <c r="Y55" s="2" t="s">
        <v>283</v>
      </c>
      <c r="Z55" s="2" t="s">
        <v>210</v>
      </c>
      <c r="AA55" s="2" t="s">
        <v>200</v>
      </c>
      <c r="AB55" s="4" t="s">
        <v>201</v>
      </c>
      <c r="AC55" s="2"/>
      <c r="AD55" s="2"/>
      <c r="AE55" s="2"/>
      <c r="AF55" s="2"/>
      <c r="AG55" s="2">
        <v>-1.93</v>
      </c>
      <c r="AH55" s="4" t="s">
        <v>38</v>
      </c>
      <c r="AI55" s="4">
        <v>-0.06</v>
      </c>
      <c r="AJ55" s="4">
        <v>-1.99</v>
      </c>
      <c r="AK55" s="2" t="s">
        <v>39</v>
      </c>
      <c r="AL55" s="4" t="s">
        <v>76</v>
      </c>
      <c r="AM55" s="2" t="s">
        <v>41</v>
      </c>
      <c r="AN55" s="2" t="s">
        <v>42</v>
      </c>
      <c r="AO55" s="2" t="s">
        <v>41</v>
      </c>
      <c r="AP55" s="2" t="s">
        <v>291</v>
      </c>
      <c r="AQ55" s="2"/>
    </row>
    <row r="56" spans="1:43" ht="14.25">
      <c r="A56"/>
      <c r="E56"/>
      <c r="I56"/>
      <c r="O56"/>
      <c r="P56"/>
      <c r="Q56"/>
      <c r="R56" s="2"/>
      <c r="S56" s="2"/>
      <c r="T56" s="4" t="s">
        <v>292</v>
      </c>
      <c r="U56" s="2" t="s">
        <v>293</v>
      </c>
      <c r="V56" s="4" t="s">
        <v>294</v>
      </c>
      <c r="W56" s="2" t="s">
        <v>32</v>
      </c>
      <c r="X56" s="2" t="s">
        <v>33</v>
      </c>
      <c r="Y56" s="2" t="s">
        <v>283</v>
      </c>
      <c r="Z56" s="2" t="s">
        <v>210</v>
      </c>
      <c r="AA56" s="2" t="s">
        <v>200</v>
      </c>
      <c r="AB56" s="4" t="s">
        <v>201</v>
      </c>
      <c r="AC56" s="2"/>
      <c r="AD56" s="2"/>
      <c r="AE56" s="2" t="s">
        <v>27</v>
      </c>
      <c r="AF56" s="2" t="s">
        <v>295</v>
      </c>
      <c r="AG56" s="2">
        <v>19.98</v>
      </c>
      <c r="AH56" s="4" t="s">
        <v>38</v>
      </c>
      <c r="AI56" s="4">
        <v>0.6</v>
      </c>
      <c r="AJ56" s="4">
        <v>20.58</v>
      </c>
      <c r="AK56" s="2" t="s">
        <v>39</v>
      </c>
      <c r="AL56" s="4" t="s">
        <v>76</v>
      </c>
      <c r="AM56" s="2" t="s">
        <v>41</v>
      </c>
      <c r="AN56" s="2" t="s">
        <v>42</v>
      </c>
      <c r="AO56" s="2" t="s">
        <v>41</v>
      </c>
      <c r="AP56" s="2" t="s">
        <v>296</v>
      </c>
      <c r="AQ56" s="2"/>
    </row>
    <row r="57" spans="1:43" ht="14.25">
      <c r="A57"/>
      <c r="E57"/>
      <c r="I57"/>
      <c r="O57"/>
      <c r="P57"/>
      <c r="Q57"/>
      <c r="R57" s="2"/>
      <c r="S57" s="2"/>
      <c r="T57" s="4" t="s">
        <v>297</v>
      </c>
      <c r="U57" s="2" t="s">
        <v>293</v>
      </c>
      <c r="V57" s="4" t="s">
        <v>294</v>
      </c>
      <c r="W57" s="2" t="s">
        <v>32</v>
      </c>
      <c r="X57" s="2" t="s">
        <v>33</v>
      </c>
      <c r="Y57" s="2" t="s">
        <v>283</v>
      </c>
      <c r="Z57" s="2" t="s">
        <v>210</v>
      </c>
      <c r="AA57" s="2" t="s">
        <v>200</v>
      </c>
      <c r="AB57" s="4" t="s">
        <v>201</v>
      </c>
      <c r="AC57" s="2"/>
      <c r="AD57" s="2"/>
      <c r="AE57" s="2" t="s">
        <v>27</v>
      </c>
      <c r="AF57" s="2" t="s">
        <v>298</v>
      </c>
      <c r="AG57" s="2">
        <v>13.61</v>
      </c>
      <c r="AH57" s="4" t="s">
        <v>38</v>
      </c>
      <c r="AI57" s="4">
        <v>0.41</v>
      </c>
      <c r="AJ57" s="4">
        <v>14.02</v>
      </c>
      <c r="AK57" s="2" t="s">
        <v>39</v>
      </c>
      <c r="AL57" s="4" t="s">
        <v>76</v>
      </c>
      <c r="AM57" s="2" t="s">
        <v>41</v>
      </c>
      <c r="AN57" s="2" t="s">
        <v>42</v>
      </c>
      <c r="AO57" s="2" t="s">
        <v>41</v>
      </c>
      <c r="AP57" s="2" t="s">
        <v>296</v>
      </c>
      <c r="AQ57" s="2"/>
    </row>
    <row r="58" spans="1:43" ht="14.25">
      <c r="A58"/>
      <c r="E58"/>
      <c r="I58"/>
      <c r="O58"/>
      <c r="P58"/>
      <c r="Q58"/>
      <c r="R58" s="2"/>
      <c r="S58" s="2"/>
      <c r="T58" s="4" t="s">
        <v>299</v>
      </c>
      <c r="U58" s="2" t="s">
        <v>281</v>
      </c>
      <c r="V58" s="4" t="s">
        <v>282</v>
      </c>
      <c r="W58" s="2" t="s">
        <v>32</v>
      </c>
      <c r="X58" s="2" t="s">
        <v>33</v>
      </c>
      <c r="Y58" s="2" t="s">
        <v>300</v>
      </c>
      <c r="Z58" s="2" t="s">
        <v>210</v>
      </c>
      <c r="AA58" s="2" t="s">
        <v>200</v>
      </c>
      <c r="AB58" s="4" t="s">
        <v>201</v>
      </c>
      <c r="AC58" s="2"/>
      <c r="AD58" s="2"/>
      <c r="AE58" s="2" t="s">
        <v>27</v>
      </c>
      <c r="AF58" s="2" t="s">
        <v>301</v>
      </c>
      <c r="AG58" s="2">
        <v>23.99</v>
      </c>
      <c r="AH58" s="4" t="s">
        <v>38</v>
      </c>
      <c r="AI58" s="4">
        <v>0.72</v>
      </c>
      <c r="AJ58" s="4">
        <v>24.71</v>
      </c>
      <c r="AK58" s="2" t="s">
        <v>39</v>
      </c>
      <c r="AL58" s="4" t="s">
        <v>76</v>
      </c>
      <c r="AM58" s="2" t="s">
        <v>41</v>
      </c>
      <c r="AN58" s="2" t="s">
        <v>42</v>
      </c>
      <c r="AO58" s="2" t="s">
        <v>41</v>
      </c>
      <c r="AP58" s="2" t="s">
        <v>285</v>
      </c>
      <c r="AQ58" s="2" t="s">
        <v>286</v>
      </c>
    </row>
    <row r="59" spans="1:43" ht="14.25">
      <c r="A59"/>
      <c r="E59"/>
      <c r="I59"/>
      <c r="O59"/>
      <c r="P59"/>
      <c r="Q59"/>
      <c r="R59" s="2"/>
      <c r="S59" s="2"/>
      <c r="T59" s="4" t="s">
        <v>302</v>
      </c>
      <c r="U59" s="2" t="s">
        <v>303</v>
      </c>
      <c r="V59" s="4" t="s">
        <v>304</v>
      </c>
      <c r="W59" s="2" t="s">
        <v>32</v>
      </c>
      <c r="X59" s="2" t="s">
        <v>33</v>
      </c>
      <c r="Y59" s="2" t="s">
        <v>300</v>
      </c>
      <c r="Z59" s="2" t="s">
        <v>210</v>
      </c>
      <c r="AA59" s="2" t="s">
        <v>200</v>
      </c>
      <c r="AB59" s="4" t="s">
        <v>201</v>
      </c>
      <c r="AC59" s="2"/>
      <c r="AD59" s="2"/>
      <c r="AE59" s="2" t="s">
        <v>27</v>
      </c>
      <c r="AF59" s="2" t="s">
        <v>305</v>
      </c>
      <c r="AG59" s="2">
        <v>5.58</v>
      </c>
      <c r="AH59" s="4" t="s">
        <v>38</v>
      </c>
      <c r="AI59" s="4">
        <v>0.17</v>
      </c>
      <c r="AJ59" s="4">
        <v>5.75</v>
      </c>
      <c r="AK59" s="2" t="s">
        <v>39</v>
      </c>
      <c r="AL59" s="4" t="s">
        <v>76</v>
      </c>
      <c r="AM59" s="2" t="s">
        <v>41</v>
      </c>
      <c r="AN59" s="2" t="s">
        <v>42</v>
      </c>
      <c r="AO59" s="2" t="s">
        <v>41</v>
      </c>
      <c r="AP59" s="2" t="s">
        <v>306</v>
      </c>
      <c r="AQ59" s="2" t="s">
        <v>307</v>
      </c>
    </row>
    <row r="60" spans="1:43" ht="14.25">
      <c r="A60"/>
      <c r="E60"/>
      <c r="I60"/>
      <c r="O60"/>
      <c r="P60"/>
      <c r="Q60"/>
      <c r="R60" s="2"/>
      <c r="S60" s="2"/>
      <c r="T60" s="4" t="s">
        <v>308</v>
      </c>
      <c r="U60" s="2" t="s">
        <v>309</v>
      </c>
      <c r="V60" s="4" t="s">
        <v>310</v>
      </c>
      <c r="W60" s="2" t="s">
        <v>32</v>
      </c>
      <c r="X60" s="2" t="s">
        <v>33</v>
      </c>
      <c r="Y60" s="2" t="s">
        <v>311</v>
      </c>
      <c r="Z60" s="2" t="s">
        <v>312</v>
      </c>
      <c r="AA60" s="2" t="s">
        <v>28</v>
      </c>
      <c r="AB60" s="4" t="s">
        <v>313</v>
      </c>
      <c r="AC60" s="2"/>
      <c r="AD60" s="2"/>
      <c r="AE60" s="2"/>
      <c r="AF60" s="2"/>
      <c r="AG60" s="2">
        <v>1306.93</v>
      </c>
      <c r="AH60" s="4" t="s">
        <v>75</v>
      </c>
      <c r="AI60" s="4">
        <v>13.07</v>
      </c>
      <c r="AJ60" s="4">
        <v>1320</v>
      </c>
      <c r="AK60" s="2" t="s">
        <v>39</v>
      </c>
      <c r="AL60" s="4" t="s">
        <v>76</v>
      </c>
      <c r="AM60" s="2" t="s">
        <v>41</v>
      </c>
      <c r="AN60" s="2" t="s">
        <v>42</v>
      </c>
      <c r="AO60" s="2" t="s">
        <v>41</v>
      </c>
      <c r="AP60" s="2" t="s">
        <v>314</v>
      </c>
      <c r="AQ60" s="2"/>
    </row>
    <row r="61" spans="1:43" ht="14.25">
      <c r="A61"/>
      <c r="E61"/>
      <c r="I61"/>
      <c r="O61"/>
      <c r="P61"/>
      <c r="Q61"/>
      <c r="R61" s="2"/>
      <c r="S61" s="2"/>
      <c r="T61" s="4" t="s">
        <v>315</v>
      </c>
      <c r="U61" s="2" t="s">
        <v>316</v>
      </c>
      <c r="V61" s="4" t="s">
        <v>317</v>
      </c>
      <c r="W61" s="2" t="s">
        <v>32</v>
      </c>
      <c r="X61" s="2" t="s">
        <v>33</v>
      </c>
      <c r="Y61" s="2" t="s">
        <v>318</v>
      </c>
      <c r="Z61" s="2" t="s">
        <v>319</v>
      </c>
      <c r="AA61" s="2" t="s">
        <v>28</v>
      </c>
      <c r="AB61" s="4" t="s">
        <v>320</v>
      </c>
      <c r="AC61" s="2" t="s">
        <v>321</v>
      </c>
      <c r="AD61" s="2" t="s">
        <v>89</v>
      </c>
      <c r="AE61" s="2" t="s">
        <v>92</v>
      </c>
      <c r="AF61" s="2" t="s">
        <v>322</v>
      </c>
      <c r="AG61" s="2">
        <v>31.61</v>
      </c>
      <c r="AH61" s="4" t="s">
        <v>107</v>
      </c>
      <c r="AI61" s="4">
        <v>4.1100000000000003</v>
      </c>
      <c r="AJ61" s="4">
        <v>35.72</v>
      </c>
      <c r="AK61" s="2" t="s">
        <v>39</v>
      </c>
      <c r="AL61" s="4" t="s">
        <v>76</v>
      </c>
      <c r="AM61" s="2" t="s">
        <v>41</v>
      </c>
      <c r="AN61" s="2" t="s">
        <v>42</v>
      </c>
      <c r="AO61" s="2" t="s">
        <v>41</v>
      </c>
      <c r="AP61" s="2" t="s">
        <v>323</v>
      </c>
      <c r="AQ61" s="2" t="s">
        <v>324</v>
      </c>
    </row>
    <row r="62" spans="1:43" ht="14.25">
      <c r="A62"/>
      <c r="E62"/>
      <c r="I62"/>
      <c r="O62"/>
      <c r="P62"/>
      <c r="Q62"/>
      <c r="R62" s="2"/>
      <c r="S62" s="2"/>
      <c r="T62" s="4" t="s">
        <v>325</v>
      </c>
      <c r="U62" s="2" t="s">
        <v>326</v>
      </c>
      <c r="V62" s="4" t="s">
        <v>327</v>
      </c>
      <c r="W62" s="2" t="s">
        <v>32</v>
      </c>
      <c r="X62" s="2" t="s">
        <v>33</v>
      </c>
      <c r="Y62" s="2" t="s">
        <v>328</v>
      </c>
      <c r="Z62" s="2" t="s">
        <v>329</v>
      </c>
      <c r="AA62" s="2" t="s">
        <v>28</v>
      </c>
      <c r="AB62" s="4" t="s">
        <v>330</v>
      </c>
      <c r="AC62" s="2"/>
      <c r="AD62" s="2" t="s">
        <v>331</v>
      </c>
      <c r="AE62" s="2" t="s">
        <v>27</v>
      </c>
      <c r="AF62" s="2" t="s">
        <v>258</v>
      </c>
      <c r="AG62" s="2">
        <v>40</v>
      </c>
      <c r="AH62" s="4" t="s">
        <v>75</v>
      </c>
      <c r="AI62" s="4">
        <v>0.4</v>
      </c>
      <c r="AJ62" s="4">
        <v>40.4</v>
      </c>
      <c r="AK62" s="2" t="s">
        <v>39</v>
      </c>
      <c r="AL62" s="4" t="s">
        <v>76</v>
      </c>
      <c r="AM62" s="2" t="s">
        <v>41</v>
      </c>
      <c r="AN62" s="2" t="s">
        <v>42</v>
      </c>
      <c r="AO62" s="2" t="s">
        <v>41</v>
      </c>
      <c r="AP62" s="2" t="s">
        <v>332</v>
      </c>
      <c r="AQ62" s="2"/>
    </row>
    <row r="63" spans="1:43" ht="14.25">
      <c r="A63"/>
      <c r="E63"/>
      <c r="I63"/>
      <c r="O63"/>
      <c r="P63"/>
      <c r="Q63"/>
      <c r="R63" s="2"/>
      <c r="S63" s="2"/>
      <c r="T63" s="4" t="s">
        <v>333</v>
      </c>
      <c r="U63" s="2" t="s">
        <v>326</v>
      </c>
      <c r="V63" s="4" t="s">
        <v>327</v>
      </c>
      <c r="W63" s="2" t="s">
        <v>32</v>
      </c>
      <c r="X63" s="2" t="s">
        <v>33</v>
      </c>
      <c r="Y63" s="2" t="s">
        <v>334</v>
      </c>
      <c r="Z63" s="2" t="s">
        <v>329</v>
      </c>
      <c r="AA63" s="2" t="s">
        <v>28</v>
      </c>
      <c r="AB63" s="4" t="s">
        <v>330</v>
      </c>
      <c r="AC63" s="2"/>
      <c r="AD63" s="2" t="s">
        <v>331</v>
      </c>
      <c r="AE63" s="2" t="s">
        <v>335</v>
      </c>
      <c r="AF63" s="2" t="s">
        <v>258</v>
      </c>
      <c r="AG63" s="2">
        <v>-40</v>
      </c>
      <c r="AH63" s="4" t="s">
        <v>336</v>
      </c>
      <c r="AI63" s="4">
        <v>0</v>
      </c>
      <c r="AJ63" s="4">
        <v>-40</v>
      </c>
      <c r="AK63" s="2" t="s">
        <v>39</v>
      </c>
      <c r="AL63" s="4" t="s">
        <v>76</v>
      </c>
      <c r="AM63" s="2" t="s">
        <v>41</v>
      </c>
      <c r="AN63" s="2" t="s">
        <v>337</v>
      </c>
      <c r="AO63" s="2" t="s">
        <v>41</v>
      </c>
      <c r="AP63" s="2" t="s">
        <v>332</v>
      </c>
      <c r="AQ63" s="2" t="s">
        <v>338</v>
      </c>
    </row>
    <row r="64" spans="1:43" ht="14.25">
      <c r="A64"/>
      <c r="E64"/>
      <c r="I64"/>
      <c r="O64"/>
      <c r="P64"/>
      <c r="Q64"/>
      <c r="R64" s="2"/>
      <c r="S64" s="2"/>
      <c r="T64" s="4" t="s">
        <v>339</v>
      </c>
      <c r="U64" s="2" t="s">
        <v>326</v>
      </c>
      <c r="V64" s="4" t="s">
        <v>327</v>
      </c>
      <c r="W64" s="2" t="s">
        <v>32</v>
      </c>
      <c r="X64" s="2" t="s">
        <v>33</v>
      </c>
      <c r="Y64" s="2" t="s">
        <v>340</v>
      </c>
      <c r="Z64" s="2" t="s">
        <v>329</v>
      </c>
      <c r="AA64" s="2" t="s">
        <v>28</v>
      </c>
      <c r="AB64" s="4" t="s">
        <v>330</v>
      </c>
      <c r="AC64" s="2"/>
      <c r="AD64" s="2" t="s">
        <v>331</v>
      </c>
      <c r="AE64" s="2" t="s">
        <v>27</v>
      </c>
      <c r="AF64" s="2" t="s">
        <v>258</v>
      </c>
      <c r="AG64" s="2">
        <v>40</v>
      </c>
      <c r="AH64" s="4" t="s">
        <v>336</v>
      </c>
      <c r="AI64" s="4">
        <v>0</v>
      </c>
      <c r="AJ64" s="4">
        <v>40</v>
      </c>
      <c r="AK64" s="2" t="s">
        <v>39</v>
      </c>
      <c r="AL64" s="4" t="s">
        <v>76</v>
      </c>
      <c r="AM64" s="2" t="s">
        <v>341</v>
      </c>
      <c r="AN64" s="2" t="s">
        <v>42</v>
      </c>
      <c r="AO64" s="2" t="s">
        <v>41</v>
      </c>
      <c r="AP64" s="2" t="s">
        <v>332</v>
      </c>
      <c r="AQ64" s="2"/>
    </row>
    <row r="65" spans="1:44" ht="14.25">
      <c r="A65"/>
      <c r="E65"/>
      <c r="I65"/>
      <c r="O65"/>
      <c r="P65"/>
      <c r="Q65"/>
      <c r="R65" s="2"/>
      <c r="S65" s="2"/>
      <c r="T65" s="4" t="s">
        <v>342</v>
      </c>
      <c r="U65" s="2" t="s">
        <v>343</v>
      </c>
      <c r="V65" s="4" t="s">
        <v>344</v>
      </c>
      <c r="W65" s="2" t="s">
        <v>32</v>
      </c>
      <c r="X65" s="2" t="s">
        <v>33</v>
      </c>
      <c r="Y65" s="2" t="s">
        <v>345</v>
      </c>
      <c r="Z65" s="2" t="s">
        <v>346</v>
      </c>
      <c r="AA65" s="2" t="s">
        <v>28</v>
      </c>
      <c r="AB65" s="4" t="s">
        <v>347</v>
      </c>
      <c r="AC65" s="2" t="s">
        <v>348</v>
      </c>
      <c r="AD65" s="2" t="s">
        <v>89</v>
      </c>
      <c r="AE65" s="2" t="s">
        <v>27</v>
      </c>
      <c r="AF65" s="2" t="s">
        <v>349</v>
      </c>
      <c r="AG65" s="2">
        <v>116.93</v>
      </c>
      <c r="AH65" s="4" t="s">
        <v>107</v>
      </c>
      <c r="AI65" s="4">
        <v>15.2</v>
      </c>
      <c r="AJ65" s="4">
        <v>132.13</v>
      </c>
      <c r="AK65" s="2" t="s">
        <v>39</v>
      </c>
      <c r="AL65" s="4" t="s">
        <v>76</v>
      </c>
      <c r="AM65" s="2" t="s">
        <v>41</v>
      </c>
      <c r="AN65" s="2" t="s">
        <v>42</v>
      </c>
      <c r="AO65" s="2" t="s">
        <v>41</v>
      </c>
      <c r="AP65" s="2" t="s">
        <v>350</v>
      </c>
      <c r="AQ65" s="2" t="s">
        <v>351</v>
      </c>
    </row>
    <row r="66" spans="1:44" ht="14.25">
      <c r="A66"/>
      <c r="E66"/>
      <c r="I66"/>
      <c r="O66"/>
      <c r="P66"/>
      <c r="Q66"/>
      <c r="R66" s="2"/>
      <c r="S66" s="2"/>
      <c r="T66" s="4" t="s">
        <v>352</v>
      </c>
      <c r="U66" s="2" t="s">
        <v>353</v>
      </c>
      <c r="V66" s="4" t="s">
        <v>354</v>
      </c>
      <c r="W66" s="2" t="s">
        <v>32</v>
      </c>
      <c r="X66" s="2" t="s">
        <v>33</v>
      </c>
      <c r="Y66" s="2" t="s">
        <v>355</v>
      </c>
      <c r="Z66" s="2" t="s">
        <v>356</v>
      </c>
      <c r="AA66" s="2" t="s">
        <v>28</v>
      </c>
      <c r="AB66" s="4" t="s">
        <v>357</v>
      </c>
      <c r="AC66" s="2"/>
      <c r="AD66" s="2" t="s">
        <v>89</v>
      </c>
      <c r="AE66" s="2" t="s">
        <v>44</v>
      </c>
      <c r="AF66" s="2" t="s">
        <v>358</v>
      </c>
      <c r="AG66" s="2">
        <v>74.680000000000007</v>
      </c>
      <c r="AH66" s="4" t="s">
        <v>75</v>
      </c>
      <c r="AI66" s="4">
        <v>0.75</v>
      </c>
      <c r="AJ66" s="4">
        <v>75.430000000000007</v>
      </c>
      <c r="AK66" s="2" t="s">
        <v>39</v>
      </c>
      <c r="AL66" s="4" t="s">
        <v>76</v>
      </c>
      <c r="AM66" s="2" t="s">
        <v>41</v>
      </c>
      <c r="AN66" s="2" t="s">
        <v>42</v>
      </c>
      <c r="AO66" s="2" t="s">
        <v>41</v>
      </c>
      <c r="AP66" s="2" t="s">
        <v>359</v>
      </c>
      <c r="AQ66" s="2"/>
    </row>
    <row r="67" spans="1:44" ht="14.25">
      <c r="A67"/>
      <c r="E67"/>
      <c r="I67"/>
      <c r="O67"/>
      <c r="P67"/>
      <c r="Q67"/>
      <c r="R67" s="2"/>
      <c r="S67" s="2"/>
      <c r="T67" s="4" t="s">
        <v>352</v>
      </c>
      <c r="U67" s="2" t="s">
        <v>353</v>
      </c>
      <c r="V67" s="4" t="s">
        <v>354</v>
      </c>
      <c r="W67" s="2" t="s">
        <v>32</v>
      </c>
      <c r="X67" s="2" t="s">
        <v>33</v>
      </c>
      <c r="Y67" s="2" t="s">
        <v>355</v>
      </c>
      <c r="Z67" s="2" t="s">
        <v>356</v>
      </c>
      <c r="AA67" s="2" t="s">
        <v>28</v>
      </c>
      <c r="AB67" s="4" t="s">
        <v>357</v>
      </c>
      <c r="AC67" s="2"/>
      <c r="AD67" s="2" t="s">
        <v>89</v>
      </c>
      <c r="AE67" s="2" t="s">
        <v>27</v>
      </c>
      <c r="AF67" s="2" t="s">
        <v>360</v>
      </c>
      <c r="AG67" s="2">
        <v>39.22</v>
      </c>
      <c r="AH67" s="4" t="s">
        <v>75</v>
      </c>
      <c r="AI67" s="4">
        <v>0.39</v>
      </c>
      <c r="AJ67" s="4">
        <v>39.61</v>
      </c>
      <c r="AK67" s="2" t="s">
        <v>39</v>
      </c>
      <c r="AL67" s="4" t="s">
        <v>76</v>
      </c>
      <c r="AM67" s="2" t="s">
        <v>41</v>
      </c>
      <c r="AN67" s="2" t="s">
        <v>42</v>
      </c>
      <c r="AO67" s="2" t="s">
        <v>41</v>
      </c>
      <c r="AP67" s="2" t="s">
        <v>359</v>
      </c>
      <c r="AQ67" s="2"/>
    </row>
    <row r="68" spans="1:44" ht="16.5">
      <c r="R68" s="2"/>
      <c r="S68" s="2"/>
      <c r="T68" s="4" t="s">
        <v>361</v>
      </c>
      <c r="U68" s="2" t="s">
        <v>127</v>
      </c>
      <c r="V68" s="4" t="s">
        <v>128</v>
      </c>
      <c r="W68" s="2" t="s">
        <v>32</v>
      </c>
      <c r="X68" s="2" t="s">
        <v>33</v>
      </c>
      <c r="Y68" s="2" t="s">
        <v>362</v>
      </c>
      <c r="Z68" s="2" t="s">
        <v>35</v>
      </c>
      <c r="AA68" s="2" t="s">
        <v>36</v>
      </c>
      <c r="AB68" s="4" t="s">
        <v>37</v>
      </c>
      <c r="AC68" s="2"/>
      <c r="AD68" s="2"/>
      <c r="AE68" s="2"/>
      <c r="AF68" s="2"/>
      <c r="AG68" s="2">
        <v>78.09</v>
      </c>
      <c r="AH68" s="4" t="s">
        <v>38</v>
      </c>
      <c r="AI68" s="4">
        <v>2.34</v>
      </c>
      <c r="AJ68" s="4">
        <v>80.430000000000007</v>
      </c>
      <c r="AK68" s="2" t="s">
        <v>39</v>
      </c>
      <c r="AL68" s="4" t="s">
        <v>40</v>
      </c>
      <c r="AM68" s="2" t="s">
        <v>41</v>
      </c>
      <c r="AN68" s="2" t="s">
        <v>42</v>
      </c>
      <c r="AO68" s="2" t="s">
        <v>41</v>
      </c>
      <c r="AP68" s="2" t="s">
        <v>130</v>
      </c>
      <c r="AQ68" s="2"/>
      <c r="AR68" s="7" t="s">
        <v>481</v>
      </c>
    </row>
    <row r="69" spans="1:44" ht="16.5">
      <c r="R69" s="2"/>
      <c r="S69" s="2"/>
      <c r="T69" s="4" t="s">
        <v>363</v>
      </c>
      <c r="U69" s="2" t="s">
        <v>127</v>
      </c>
      <c r="V69" s="4" t="s">
        <v>128</v>
      </c>
      <c r="W69" s="2" t="s">
        <v>32</v>
      </c>
      <c r="X69" s="2" t="s">
        <v>33</v>
      </c>
      <c r="Y69" s="2" t="s">
        <v>364</v>
      </c>
      <c r="Z69" s="2" t="s">
        <v>35</v>
      </c>
      <c r="AA69" s="2" t="s">
        <v>36</v>
      </c>
      <c r="AB69" s="4" t="s">
        <v>37</v>
      </c>
      <c r="AC69" s="2"/>
      <c r="AD69" s="2"/>
      <c r="AE69" s="2"/>
      <c r="AF69" s="2"/>
      <c r="AG69" s="2">
        <v>142.96</v>
      </c>
      <c r="AH69" s="4" t="s">
        <v>38</v>
      </c>
      <c r="AI69" s="4">
        <v>4.29</v>
      </c>
      <c r="AJ69" s="4">
        <v>147.25</v>
      </c>
      <c r="AK69" s="2" t="s">
        <v>39</v>
      </c>
      <c r="AL69" s="4" t="s">
        <v>40</v>
      </c>
      <c r="AM69" s="2" t="s">
        <v>41</v>
      </c>
      <c r="AN69" s="2" t="s">
        <v>42</v>
      </c>
      <c r="AO69" s="2" t="s">
        <v>41</v>
      </c>
      <c r="AP69" s="2" t="s">
        <v>130</v>
      </c>
      <c r="AQ69" s="2"/>
      <c r="AR69" s="7" t="s">
        <v>481</v>
      </c>
    </row>
    <row r="70" spans="1:44" ht="16.5">
      <c r="R70" s="2"/>
      <c r="S70" s="2"/>
      <c r="T70" s="4" t="s">
        <v>365</v>
      </c>
      <c r="U70" s="2" t="s">
        <v>127</v>
      </c>
      <c r="V70" s="4" t="s">
        <v>128</v>
      </c>
      <c r="W70" s="2" t="s">
        <v>32</v>
      </c>
      <c r="X70" s="2" t="s">
        <v>33</v>
      </c>
      <c r="Y70" s="2" t="s">
        <v>366</v>
      </c>
      <c r="Z70" s="2" t="s">
        <v>35</v>
      </c>
      <c r="AA70" s="2" t="s">
        <v>36</v>
      </c>
      <c r="AB70" s="4" t="s">
        <v>37</v>
      </c>
      <c r="AC70" s="2"/>
      <c r="AD70" s="2"/>
      <c r="AE70" s="2"/>
      <c r="AF70" s="2"/>
      <c r="AG70" s="2">
        <v>40.68</v>
      </c>
      <c r="AH70" s="4" t="s">
        <v>38</v>
      </c>
      <c r="AI70" s="4">
        <v>1.22</v>
      </c>
      <c r="AJ70" s="4">
        <v>41.9</v>
      </c>
      <c r="AK70" s="2" t="s">
        <v>39</v>
      </c>
      <c r="AL70" s="4" t="s">
        <v>40</v>
      </c>
      <c r="AM70" s="2" t="s">
        <v>41</v>
      </c>
      <c r="AN70" s="2" t="s">
        <v>42</v>
      </c>
      <c r="AO70" s="2" t="s">
        <v>41</v>
      </c>
      <c r="AP70" s="2" t="s">
        <v>130</v>
      </c>
      <c r="AQ70" s="2"/>
      <c r="AR70" s="7" t="s">
        <v>481</v>
      </c>
    </row>
    <row r="71" spans="1:44" ht="16.5">
      <c r="R71" s="2"/>
      <c r="S71" s="2"/>
      <c r="T71" s="4" t="s">
        <v>367</v>
      </c>
      <c r="U71" s="2" t="s">
        <v>368</v>
      </c>
      <c r="V71" s="4" t="s">
        <v>369</v>
      </c>
      <c r="W71" s="2" t="s">
        <v>32</v>
      </c>
      <c r="X71" s="2" t="s">
        <v>33</v>
      </c>
      <c r="Y71" s="2" t="s">
        <v>366</v>
      </c>
      <c r="Z71" s="2" t="s">
        <v>35</v>
      </c>
      <c r="AA71" s="2" t="s">
        <v>36</v>
      </c>
      <c r="AB71" s="4" t="s">
        <v>37</v>
      </c>
      <c r="AC71" s="2"/>
      <c r="AD71" s="2"/>
      <c r="AE71" s="2"/>
      <c r="AF71" s="2"/>
      <c r="AG71" s="2">
        <v>28.5</v>
      </c>
      <c r="AH71" s="4" t="s">
        <v>38</v>
      </c>
      <c r="AI71" s="4">
        <v>0.85</v>
      </c>
      <c r="AJ71" s="4">
        <v>29.35</v>
      </c>
      <c r="AK71" s="2" t="s">
        <v>39</v>
      </c>
      <c r="AL71" s="4" t="s">
        <v>40</v>
      </c>
      <c r="AM71" s="2" t="s">
        <v>41</v>
      </c>
      <c r="AN71" s="2" t="s">
        <v>42</v>
      </c>
      <c r="AO71" s="2" t="s">
        <v>41</v>
      </c>
      <c r="AP71" s="2" t="s">
        <v>370</v>
      </c>
      <c r="AQ71" s="2"/>
      <c r="AR71" s="7" t="s">
        <v>481</v>
      </c>
    </row>
    <row r="72" spans="1:44" ht="14.25">
      <c r="A72"/>
      <c r="E72"/>
      <c r="I72"/>
      <c r="O72"/>
      <c r="P72"/>
      <c r="Q72"/>
      <c r="R72" s="2"/>
      <c r="S72" s="2"/>
      <c r="T72" s="4" t="s">
        <v>371</v>
      </c>
      <c r="U72" s="2" t="s">
        <v>372</v>
      </c>
      <c r="V72" s="4" t="s">
        <v>373</v>
      </c>
      <c r="W72" s="2" t="s">
        <v>32</v>
      </c>
      <c r="X72" s="2" t="s">
        <v>33</v>
      </c>
      <c r="Y72" s="2" t="s">
        <v>374</v>
      </c>
      <c r="Z72" s="2" t="s">
        <v>170</v>
      </c>
      <c r="AA72" s="2" t="s">
        <v>28</v>
      </c>
      <c r="AB72" s="4" t="s">
        <v>375</v>
      </c>
      <c r="AC72" s="2" t="s">
        <v>172</v>
      </c>
      <c r="AD72" s="2" t="s">
        <v>27</v>
      </c>
      <c r="AE72" s="2" t="s">
        <v>376</v>
      </c>
      <c r="AF72" s="2" t="s">
        <v>377</v>
      </c>
      <c r="AG72" s="2">
        <v>143.56</v>
      </c>
      <c r="AH72" s="4" t="s">
        <v>75</v>
      </c>
      <c r="AI72" s="4">
        <v>1.44</v>
      </c>
      <c r="AJ72" s="4">
        <v>145</v>
      </c>
      <c r="AK72" s="2" t="s">
        <v>39</v>
      </c>
      <c r="AL72" s="4" t="s">
        <v>76</v>
      </c>
      <c r="AM72" s="2" t="s">
        <v>41</v>
      </c>
      <c r="AN72" s="2" t="s">
        <v>42</v>
      </c>
      <c r="AO72" s="2" t="s">
        <v>41</v>
      </c>
      <c r="AP72" s="2" t="s">
        <v>378</v>
      </c>
      <c r="AQ72" s="2"/>
    </row>
    <row r="73" spans="1:44" ht="16.5">
      <c r="R73" s="2"/>
      <c r="S73" s="2"/>
      <c r="T73" s="4" t="s">
        <v>379</v>
      </c>
      <c r="U73" s="2" t="s">
        <v>127</v>
      </c>
      <c r="V73" s="4" t="s">
        <v>128</v>
      </c>
      <c r="W73" s="2" t="s">
        <v>32</v>
      </c>
      <c r="X73" s="2" t="s">
        <v>33</v>
      </c>
      <c r="Y73" s="2" t="s">
        <v>380</v>
      </c>
      <c r="Z73" s="2" t="s">
        <v>35</v>
      </c>
      <c r="AA73" s="2" t="s">
        <v>36</v>
      </c>
      <c r="AB73" s="4" t="s">
        <v>37</v>
      </c>
      <c r="AC73" s="2"/>
      <c r="AD73" s="2"/>
      <c r="AE73" s="2"/>
      <c r="AF73" s="2"/>
      <c r="AG73" s="2">
        <v>195.53</v>
      </c>
      <c r="AH73" s="4" t="s">
        <v>38</v>
      </c>
      <c r="AI73" s="4">
        <v>5.87</v>
      </c>
      <c r="AJ73" s="4">
        <v>201.4</v>
      </c>
      <c r="AK73" s="2" t="s">
        <v>39</v>
      </c>
      <c r="AL73" s="4" t="s">
        <v>40</v>
      </c>
      <c r="AM73" s="2" t="s">
        <v>41</v>
      </c>
      <c r="AN73" s="2" t="s">
        <v>42</v>
      </c>
      <c r="AO73" s="2" t="s">
        <v>41</v>
      </c>
      <c r="AP73" s="2" t="s">
        <v>130</v>
      </c>
      <c r="AQ73" s="2"/>
      <c r="AR73" s="7" t="s">
        <v>481</v>
      </c>
    </row>
    <row r="74" spans="1:44" ht="16.5">
      <c r="R74" s="2"/>
      <c r="S74" s="2"/>
      <c r="T74" s="4" t="s">
        <v>381</v>
      </c>
      <c r="U74" s="2" t="s">
        <v>127</v>
      </c>
      <c r="V74" s="4" t="s">
        <v>128</v>
      </c>
      <c r="W74" s="2" t="s">
        <v>32</v>
      </c>
      <c r="X74" s="2" t="s">
        <v>33</v>
      </c>
      <c r="Y74" s="2" t="s">
        <v>382</v>
      </c>
      <c r="Z74" s="2" t="s">
        <v>35</v>
      </c>
      <c r="AA74" s="2" t="s">
        <v>36</v>
      </c>
      <c r="AB74" s="4" t="s">
        <v>37</v>
      </c>
      <c r="AC74" s="2"/>
      <c r="AD74" s="2"/>
      <c r="AE74" s="2"/>
      <c r="AF74" s="2"/>
      <c r="AG74" s="2">
        <v>8.0399999999999991</v>
      </c>
      <c r="AH74" s="4" t="s">
        <v>38</v>
      </c>
      <c r="AI74" s="4">
        <v>0.24</v>
      </c>
      <c r="AJ74" s="4">
        <v>8.2799999999999994</v>
      </c>
      <c r="AK74" s="2" t="s">
        <v>39</v>
      </c>
      <c r="AL74" s="4" t="s">
        <v>40</v>
      </c>
      <c r="AM74" s="2" t="s">
        <v>41</v>
      </c>
      <c r="AN74" s="2" t="s">
        <v>42</v>
      </c>
      <c r="AO74" s="2" t="s">
        <v>41</v>
      </c>
      <c r="AP74" s="2" t="s">
        <v>130</v>
      </c>
      <c r="AQ74" s="2"/>
      <c r="AR74" s="7" t="s">
        <v>481</v>
      </c>
    </row>
    <row r="75" spans="1:44" ht="16.5">
      <c r="R75" s="2"/>
      <c r="S75" s="2"/>
      <c r="T75" s="4" t="s">
        <v>383</v>
      </c>
      <c r="U75" s="2" t="s">
        <v>127</v>
      </c>
      <c r="V75" s="4" t="s">
        <v>128</v>
      </c>
      <c r="W75" s="2" t="s">
        <v>32</v>
      </c>
      <c r="X75" s="2" t="s">
        <v>33</v>
      </c>
      <c r="Y75" s="2" t="s">
        <v>384</v>
      </c>
      <c r="Z75" s="2" t="s">
        <v>35</v>
      </c>
      <c r="AA75" s="2" t="s">
        <v>36</v>
      </c>
      <c r="AB75" s="4" t="s">
        <v>37</v>
      </c>
      <c r="AC75" s="2"/>
      <c r="AD75" s="2"/>
      <c r="AE75" s="2"/>
      <c r="AF75" s="2"/>
      <c r="AG75" s="2">
        <v>40.53</v>
      </c>
      <c r="AH75" s="4" t="s">
        <v>38</v>
      </c>
      <c r="AI75" s="4">
        <v>1.22</v>
      </c>
      <c r="AJ75" s="4">
        <v>41.75</v>
      </c>
      <c r="AK75" s="2" t="s">
        <v>39</v>
      </c>
      <c r="AL75" s="4" t="s">
        <v>40</v>
      </c>
      <c r="AM75" s="2" t="s">
        <v>41</v>
      </c>
      <c r="AN75" s="2" t="s">
        <v>42</v>
      </c>
      <c r="AO75" s="2" t="s">
        <v>41</v>
      </c>
      <c r="AP75" s="2" t="s">
        <v>130</v>
      </c>
      <c r="AQ75" s="2"/>
      <c r="AR75" s="7" t="s">
        <v>481</v>
      </c>
    </row>
    <row r="76" spans="1:44" ht="16.5">
      <c r="R76" s="2"/>
      <c r="S76" s="2"/>
      <c r="T76" s="4" t="s">
        <v>385</v>
      </c>
      <c r="U76" s="2" t="s">
        <v>368</v>
      </c>
      <c r="V76" s="4" t="s">
        <v>369</v>
      </c>
      <c r="W76" s="2" t="s">
        <v>32</v>
      </c>
      <c r="X76" s="2" t="s">
        <v>33</v>
      </c>
      <c r="Y76" s="2" t="s">
        <v>384</v>
      </c>
      <c r="Z76" s="2" t="s">
        <v>35</v>
      </c>
      <c r="AA76" s="2" t="s">
        <v>36</v>
      </c>
      <c r="AB76" s="4" t="s">
        <v>37</v>
      </c>
      <c r="AC76" s="2"/>
      <c r="AD76" s="2"/>
      <c r="AE76" s="2"/>
      <c r="AF76" s="2"/>
      <c r="AG76" s="2">
        <v>28.64</v>
      </c>
      <c r="AH76" s="4" t="s">
        <v>38</v>
      </c>
      <c r="AI76" s="4">
        <v>0.86</v>
      </c>
      <c r="AJ76" s="4">
        <v>29.5</v>
      </c>
      <c r="AK76" s="2" t="s">
        <v>39</v>
      </c>
      <c r="AL76" s="4" t="s">
        <v>40</v>
      </c>
      <c r="AM76" s="2" t="s">
        <v>41</v>
      </c>
      <c r="AN76" s="2" t="s">
        <v>42</v>
      </c>
      <c r="AO76" s="2" t="s">
        <v>41</v>
      </c>
      <c r="AP76" s="2" t="s">
        <v>370</v>
      </c>
      <c r="AQ76" s="2"/>
      <c r="AR76" s="7" t="s">
        <v>481</v>
      </c>
    </row>
    <row r="77" spans="1:44" ht="14.25">
      <c r="A77"/>
      <c r="E77"/>
      <c r="I77"/>
      <c r="O77"/>
      <c r="P77"/>
      <c r="Q77"/>
      <c r="R77" s="2"/>
      <c r="S77" s="2"/>
      <c r="T77" s="4" t="s">
        <v>386</v>
      </c>
      <c r="U77" s="2" t="s">
        <v>387</v>
      </c>
      <c r="V77" s="4" t="s">
        <v>388</v>
      </c>
      <c r="W77" s="2" t="s">
        <v>32</v>
      </c>
      <c r="X77" s="2" t="s">
        <v>33</v>
      </c>
      <c r="Y77" s="2" t="s">
        <v>389</v>
      </c>
      <c r="Z77" s="2" t="s">
        <v>390</v>
      </c>
      <c r="AA77" s="2" t="s">
        <v>28</v>
      </c>
      <c r="AB77" s="4" t="s">
        <v>391</v>
      </c>
      <c r="AC77" s="2"/>
      <c r="AD77" s="2" t="s">
        <v>392</v>
      </c>
      <c r="AE77" s="2" t="s">
        <v>27</v>
      </c>
      <c r="AF77" s="2" t="s">
        <v>90</v>
      </c>
      <c r="AG77" s="2">
        <v>297.02999999999997</v>
      </c>
      <c r="AH77" s="4" t="s">
        <v>75</v>
      </c>
      <c r="AI77" s="4">
        <v>2.97</v>
      </c>
      <c r="AJ77" s="4">
        <v>300</v>
      </c>
      <c r="AK77" s="2" t="s">
        <v>39</v>
      </c>
      <c r="AL77" s="4" t="s">
        <v>76</v>
      </c>
      <c r="AM77" s="2" t="s">
        <v>41</v>
      </c>
      <c r="AN77" s="2" t="s">
        <v>42</v>
      </c>
      <c r="AO77" s="2" t="s">
        <v>41</v>
      </c>
      <c r="AP77" s="2" t="s">
        <v>393</v>
      </c>
      <c r="AQ77" s="2"/>
    </row>
    <row r="78" spans="1:44" ht="16.5">
      <c r="R78" s="2"/>
      <c r="S78" s="2"/>
      <c r="T78" s="4" t="s">
        <v>394</v>
      </c>
      <c r="U78" s="2" t="s">
        <v>395</v>
      </c>
      <c r="V78" s="4" t="s">
        <v>396</v>
      </c>
      <c r="W78" s="2" t="s">
        <v>32</v>
      </c>
      <c r="X78" s="2" t="s">
        <v>33</v>
      </c>
      <c r="Y78" s="2" t="s">
        <v>397</v>
      </c>
      <c r="Z78" s="2" t="s">
        <v>312</v>
      </c>
      <c r="AA78" s="2" t="s">
        <v>28</v>
      </c>
      <c r="AB78" s="4" t="s">
        <v>398</v>
      </c>
      <c r="AC78" s="2"/>
      <c r="AD78" s="2"/>
      <c r="AE78" s="2"/>
      <c r="AF78" s="2"/>
      <c r="AG78" s="2">
        <v>2762.83</v>
      </c>
      <c r="AH78" s="4" t="s">
        <v>107</v>
      </c>
      <c r="AI78" s="4">
        <v>359.17</v>
      </c>
      <c r="AJ78" s="4">
        <v>3122</v>
      </c>
      <c r="AK78" s="2" t="s">
        <v>39</v>
      </c>
      <c r="AL78" s="4" t="s">
        <v>146</v>
      </c>
      <c r="AM78" s="2" t="s">
        <v>41</v>
      </c>
      <c r="AN78" s="2" t="s">
        <v>42</v>
      </c>
      <c r="AO78" s="2" t="s">
        <v>41</v>
      </c>
      <c r="AP78" s="2" t="s">
        <v>399</v>
      </c>
      <c r="AQ78" s="2"/>
      <c r="AR78" s="7" t="s">
        <v>481</v>
      </c>
    </row>
    <row r="79" spans="1:44" ht="16.5">
      <c r="R79" s="2"/>
      <c r="S79" s="2"/>
      <c r="T79" s="4" t="s">
        <v>400</v>
      </c>
      <c r="U79" s="2" t="s">
        <v>127</v>
      </c>
      <c r="V79" s="4" t="s">
        <v>128</v>
      </c>
      <c r="W79" s="2" t="s">
        <v>32</v>
      </c>
      <c r="X79" s="2" t="s">
        <v>33</v>
      </c>
      <c r="Y79" s="2" t="s">
        <v>401</v>
      </c>
      <c r="Z79" s="2" t="s">
        <v>35</v>
      </c>
      <c r="AA79" s="2" t="s">
        <v>36</v>
      </c>
      <c r="AB79" s="4" t="s">
        <v>37</v>
      </c>
      <c r="AC79" s="2"/>
      <c r="AD79" s="2"/>
      <c r="AE79" s="2"/>
      <c r="AF79" s="2"/>
      <c r="AG79" s="2">
        <v>191.84</v>
      </c>
      <c r="AH79" s="4" t="s">
        <v>38</v>
      </c>
      <c r="AI79" s="4">
        <v>5.76</v>
      </c>
      <c r="AJ79" s="4">
        <v>197.6</v>
      </c>
      <c r="AK79" s="2" t="s">
        <v>39</v>
      </c>
      <c r="AL79" s="4" t="s">
        <v>40</v>
      </c>
      <c r="AM79" s="2" t="s">
        <v>41</v>
      </c>
      <c r="AN79" s="2" t="s">
        <v>42</v>
      </c>
      <c r="AO79" s="2" t="s">
        <v>41</v>
      </c>
      <c r="AP79" s="2" t="s">
        <v>130</v>
      </c>
      <c r="AQ79" s="2"/>
      <c r="AR79" s="7" t="s">
        <v>481</v>
      </c>
    </row>
    <row r="80" spans="1:44" ht="14.25">
      <c r="A80"/>
      <c r="E80"/>
      <c r="I80"/>
      <c r="O80"/>
      <c r="P80"/>
      <c r="Q80"/>
      <c r="R80" s="2"/>
      <c r="S80" s="2"/>
      <c r="T80" s="4" t="s">
        <v>402</v>
      </c>
      <c r="U80" s="2" t="s">
        <v>403</v>
      </c>
      <c r="V80" s="4" t="s">
        <v>404</v>
      </c>
      <c r="W80" s="2" t="s">
        <v>32</v>
      </c>
      <c r="X80" s="2" t="s">
        <v>33</v>
      </c>
      <c r="Y80" s="2" t="s">
        <v>405</v>
      </c>
      <c r="Z80" s="2" t="s">
        <v>406</v>
      </c>
      <c r="AA80" s="2" t="s">
        <v>28</v>
      </c>
      <c r="AB80" s="4" t="s">
        <v>407</v>
      </c>
      <c r="AC80" s="2"/>
      <c r="AD80" s="2" t="s">
        <v>89</v>
      </c>
      <c r="AE80" s="2" t="s">
        <v>27</v>
      </c>
      <c r="AF80" s="2" t="s">
        <v>408</v>
      </c>
      <c r="AG80" s="2">
        <v>165.35</v>
      </c>
      <c r="AH80" s="4" t="s">
        <v>75</v>
      </c>
      <c r="AI80" s="4">
        <v>1.65</v>
      </c>
      <c r="AJ80" s="4">
        <v>167</v>
      </c>
      <c r="AK80" s="2" t="s">
        <v>39</v>
      </c>
      <c r="AL80" s="4" t="s">
        <v>76</v>
      </c>
      <c r="AM80" s="2" t="s">
        <v>41</v>
      </c>
      <c r="AN80" s="2" t="s">
        <v>42</v>
      </c>
      <c r="AO80" s="2" t="s">
        <v>41</v>
      </c>
      <c r="AP80" s="2" t="s">
        <v>409</v>
      </c>
      <c r="AQ80" s="2"/>
    </row>
    <row r="81" spans="1:47" ht="16.5">
      <c r="R81" s="2"/>
      <c r="S81" s="2"/>
      <c r="T81" s="4" t="s">
        <v>410</v>
      </c>
      <c r="U81" s="2" t="s">
        <v>411</v>
      </c>
      <c r="V81" s="4" t="s">
        <v>412</v>
      </c>
      <c r="W81" s="2" t="s">
        <v>32</v>
      </c>
      <c r="X81" s="2" t="s">
        <v>33</v>
      </c>
      <c r="Y81" s="2" t="s">
        <v>413</v>
      </c>
      <c r="Z81" s="2" t="s">
        <v>414</v>
      </c>
      <c r="AA81" s="2" t="s">
        <v>415</v>
      </c>
      <c r="AB81" s="4" t="s">
        <v>416</v>
      </c>
      <c r="AC81" s="2"/>
      <c r="AD81" s="2"/>
      <c r="AE81" s="2"/>
      <c r="AF81" s="2"/>
      <c r="AG81" s="2">
        <v>34.86</v>
      </c>
      <c r="AH81" s="4" t="s">
        <v>417</v>
      </c>
      <c r="AI81" s="4">
        <v>3.14</v>
      </c>
      <c r="AJ81" s="4">
        <v>38</v>
      </c>
      <c r="AK81" s="2" t="s">
        <v>39</v>
      </c>
      <c r="AL81" s="4" t="s">
        <v>418</v>
      </c>
      <c r="AM81" s="2" t="s">
        <v>41</v>
      </c>
      <c r="AN81" s="2" t="s">
        <v>42</v>
      </c>
      <c r="AO81" s="2" t="s">
        <v>41</v>
      </c>
      <c r="AP81" s="2" t="s">
        <v>419</v>
      </c>
      <c r="AQ81" s="2"/>
      <c r="AR81" s="7" t="s">
        <v>481</v>
      </c>
    </row>
    <row r="82" spans="1:47" ht="16.5">
      <c r="R82" s="2"/>
      <c r="S82" s="2"/>
      <c r="T82" s="4" t="s">
        <v>420</v>
      </c>
      <c r="U82" s="2" t="s">
        <v>421</v>
      </c>
      <c r="V82" s="4" t="s">
        <v>422</v>
      </c>
      <c r="W82" s="2" t="s">
        <v>32</v>
      </c>
      <c r="X82" s="2" t="s">
        <v>33</v>
      </c>
      <c r="Y82" s="2" t="s">
        <v>423</v>
      </c>
      <c r="Z82" s="2" t="s">
        <v>424</v>
      </c>
      <c r="AA82" s="2" t="s">
        <v>28</v>
      </c>
      <c r="AB82" s="4" t="s">
        <v>425</v>
      </c>
      <c r="AC82" s="2"/>
      <c r="AD82" s="2" t="s">
        <v>426</v>
      </c>
      <c r="AE82" s="2" t="s">
        <v>27</v>
      </c>
      <c r="AF82" s="2" t="s">
        <v>427</v>
      </c>
      <c r="AG82" s="2">
        <v>471.7</v>
      </c>
      <c r="AH82" s="4" t="s">
        <v>189</v>
      </c>
      <c r="AI82" s="4">
        <v>28.3</v>
      </c>
      <c r="AJ82" s="4">
        <v>500</v>
      </c>
      <c r="AK82" s="2" t="s">
        <v>39</v>
      </c>
      <c r="AL82" s="4" t="s">
        <v>146</v>
      </c>
      <c r="AM82" s="2" t="s">
        <v>41</v>
      </c>
      <c r="AN82" s="2" t="s">
        <v>42</v>
      </c>
      <c r="AO82" s="2" t="s">
        <v>41</v>
      </c>
      <c r="AP82" s="2" t="s">
        <v>428</v>
      </c>
      <c r="AQ82" s="2"/>
      <c r="AR82" s="7" t="s">
        <v>481</v>
      </c>
    </row>
    <row r="83" spans="1:47" ht="16.5">
      <c r="R83" s="2"/>
      <c r="S83" s="2"/>
      <c r="T83" s="4" t="s">
        <v>429</v>
      </c>
      <c r="U83" s="2" t="s">
        <v>430</v>
      </c>
      <c r="V83" s="4" t="s">
        <v>431</v>
      </c>
      <c r="W83" s="2" t="s">
        <v>32</v>
      </c>
      <c r="X83" s="2" t="s">
        <v>33</v>
      </c>
      <c r="Y83" s="2" t="s">
        <v>432</v>
      </c>
      <c r="Z83" s="2" t="s">
        <v>433</v>
      </c>
      <c r="AA83" s="2" t="s">
        <v>28</v>
      </c>
      <c r="AB83" s="4" t="s">
        <v>434</v>
      </c>
      <c r="AC83" s="2"/>
      <c r="AD83" s="2"/>
      <c r="AE83" s="2"/>
      <c r="AF83" s="2"/>
      <c r="AG83" s="2">
        <v>283.02</v>
      </c>
      <c r="AH83" s="4" t="s">
        <v>189</v>
      </c>
      <c r="AI83" s="4">
        <v>16.98</v>
      </c>
      <c r="AJ83" s="4">
        <v>300</v>
      </c>
      <c r="AK83" s="2" t="s">
        <v>39</v>
      </c>
      <c r="AL83" s="4" t="s">
        <v>146</v>
      </c>
      <c r="AM83" s="2" t="s">
        <v>41</v>
      </c>
      <c r="AN83" s="2" t="s">
        <v>42</v>
      </c>
      <c r="AO83" s="2" t="s">
        <v>41</v>
      </c>
      <c r="AP83" s="2" t="s">
        <v>435</v>
      </c>
      <c r="AQ83" s="2" t="s">
        <v>436</v>
      </c>
      <c r="AR83" s="7" t="s">
        <v>481</v>
      </c>
    </row>
    <row r="84" spans="1:47" ht="16.5">
      <c r="R84" s="2"/>
      <c r="S84" s="2"/>
      <c r="T84" s="4" t="s">
        <v>437</v>
      </c>
      <c r="U84" s="2" t="s">
        <v>438</v>
      </c>
      <c r="V84" s="4" t="s">
        <v>439</v>
      </c>
      <c r="W84" s="2" t="s">
        <v>32</v>
      </c>
      <c r="X84" s="2" t="s">
        <v>33</v>
      </c>
      <c r="Y84" s="2" t="s">
        <v>440</v>
      </c>
      <c r="Z84" s="2" t="s">
        <v>424</v>
      </c>
      <c r="AA84" s="2" t="s">
        <v>28</v>
      </c>
      <c r="AB84" s="4" t="s">
        <v>441</v>
      </c>
      <c r="AC84" s="2"/>
      <c r="AD84" s="2"/>
      <c r="AE84" s="2" t="s">
        <v>335</v>
      </c>
      <c r="AF84" s="2" t="s">
        <v>442</v>
      </c>
      <c r="AG84" s="2">
        <v>-50538.41</v>
      </c>
      <c r="AH84" s="4" t="s">
        <v>75</v>
      </c>
      <c r="AI84" s="4">
        <v>-505.38</v>
      </c>
      <c r="AJ84" s="4">
        <v>-51043.79</v>
      </c>
      <c r="AK84" s="2" t="s">
        <v>39</v>
      </c>
      <c r="AL84" s="4" t="s">
        <v>146</v>
      </c>
      <c r="AM84" s="2" t="s">
        <v>41</v>
      </c>
      <c r="AN84" s="2" t="s">
        <v>337</v>
      </c>
      <c r="AO84" s="2" t="s">
        <v>41</v>
      </c>
      <c r="AP84" s="2" t="s">
        <v>443</v>
      </c>
      <c r="AQ84" s="2" t="s">
        <v>444</v>
      </c>
      <c r="AR84" s="7" t="s">
        <v>481</v>
      </c>
    </row>
    <row r="85" spans="1:47" ht="16.5">
      <c r="R85" s="2"/>
      <c r="S85" s="2"/>
      <c r="T85" s="4" t="s">
        <v>445</v>
      </c>
      <c r="U85" s="2" t="s">
        <v>438</v>
      </c>
      <c r="V85" s="4" t="s">
        <v>439</v>
      </c>
      <c r="W85" s="2" t="s">
        <v>32</v>
      </c>
      <c r="X85" s="2" t="s">
        <v>33</v>
      </c>
      <c r="Y85" s="2" t="s">
        <v>446</v>
      </c>
      <c r="Z85" s="2" t="s">
        <v>424</v>
      </c>
      <c r="AA85" s="2" t="s">
        <v>28</v>
      </c>
      <c r="AB85" s="4" t="s">
        <v>441</v>
      </c>
      <c r="AC85" s="2"/>
      <c r="AD85" s="2"/>
      <c r="AE85" s="2" t="s">
        <v>27</v>
      </c>
      <c r="AF85" s="2" t="s">
        <v>447</v>
      </c>
      <c r="AG85" s="2">
        <v>49557.08</v>
      </c>
      <c r="AH85" s="4" t="s">
        <v>38</v>
      </c>
      <c r="AI85" s="4">
        <v>1486.71</v>
      </c>
      <c r="AJ85" s="4">
        <v>51043.79</v>
      </c>
      <c r="AK85" s="2" t="s">
        <v>39</v>
      </c>
      <c r="AL85" s="4" t="s">
        <v>146</v>
      </c>
      <c r="AM85" s="2" t="s">
        <v>41</v>
      </c>
      <c r="AN85" s="2" t="s">
        <v>42</v>
      </c>
      <c r="AO85" s="2" t="s">
        <v>41</v>
      </c>
      <c r="AP85" s="2" t="s">
        <v>443</v>
      </c>
      <c r="AQ85" s="2"/>
      <c r="AR85" s="7" t="s">
        <v>481</v>
      </c>
    </row>
    <row r="86" spans="1:47" ht="16.5">
      <c r="R86" s="2"/>
      <c r="S86" s="2"/>
      <c r="T86" s="4" t="s">
        <v>448</v>
      </c>
      <c r="U86" s="2" t="s">
        <v>438</v>
      </c>
      <c r="V86" s="4" t="s">
        <v>439</v>
      </c>
      <c r="W86" s="2" t="s">
        <v>32</v>
      </c>
      <c r="X86" s="2" t="s">
        <v>33</v>
      </c>
      <c r="Y86" s="2" t="s">
        <v>449</v>
      </c>
      <c r="Z86" s="2" t="s">
        <v>424</v>
      </c>
      <c r="AA86" s="2" t="s">
        <v>28</v>
      </c>
      <c r="AB86" s="4" t="s">
        <v>441</v>
      </c>
      <c r="AC86" s="2"/>
      <c r="AD86" s="2"/>
      <c r="AE86" s="2" t="s">
        <v>27</v>
      </c>
      <c r="AF86" s="2" t="s">
        <v>442</v>
      </c>
      <c r="AG86" s="2">
        <v>50538.41</v>
      </c>
      <c r="AH86" s="4" t="s">
        <v>75</v>
      </c>
      <c r="AI86" s="4">
        <v>505.38</v>
      </c>
      <c r="AJ86" s="4">
        <v>51043.79</v>
      </c>
      <c r="AK86" s="2" t="s">
        <v>39</v>
      </c>
      <c r="AL86" s="4" t="s">
        <v>146</v>
      </c>
      <c r="AM86" s="2" t="s">
        <v>341</v>
      </c>
      <c r="AN86" s="2" t="s">
        <v>42</v>
      </c>
      <c r="AO86" s="2" t="s">
        <v>41</v>
      </c>
      <c r="AP86" s="2" t="s">
        <v>443</v>
      </c>
      <c r="AQ86" s="2"/>
      <c r="AR86" s="7" t="s">
        <v>481</v>
      </c>
    </row>
    <row r="87" spans="1:47" ht="16.5">
      <c r="R87" s="2"/>
      <c r="S87" s="2"/>
      <c r="T87" s="4" t="s">
        <v>450</v>
      </c>
      <c r="U87" s="2" t="s">
        <v>451</v>
      </c>
      <c r="V87" s="4" t="s">
        <v>452</v>
      </c>
      <c r="W87" s="2" t="s">
        <v>32</v>
      </c>
      <c r="X87" s="2" t="s">
        <v>33</v>
      </c>
      <c r="Y87" s="2" t="s">
        <v>453</v>
      </c>
      <c r="Z87" s="2" t="s">
        <v>35</v>
      </c>
      <c r="AA87" s="2" t="s">
        <v>36</v>
      </c>
      <c r="AB87" s="4" t="s">
        <v>37</v>
      </c>
      <c r="AC87" s="2"/>
      <c r="AD87" s="2"/>
      <c r="AE87" s="2"/>
      <c r="AF87" s="2"/>
      <c r="AG87" s="2">
        <v>20.91</v>
      </c>
      <c r="AH87" s="4" t="s">
        <v>417</v>
      </c>
      <c r="AI87" s="4">
        <v>1.88</v>
      </c>
      <c r="AJ87" s="4">
        <v>22.79</v>
      </c>
      <c r="AK87" s="2" t="s">
        <v>39</v>
      </c>
      <c r="AL87" s="4" t="s">
        <v>40</v>
      </c>
      <c r="AM87" s="2" t="s">
        <v>41</v>
      </c>
      <c r="AN87" s="2" t="s">
        <v>42</v>
      </c>
      <c r="AO87" s="2" t="s">
        <v>41</v>
      </c>
      <c r="AP87" s="2" t="s">
        <v>454</v>
      </c>
      <c r="AQ87" s="2"/>
      <c r="AR87" s="7" t="s">
        <v>481</v>
      </c>
    </row>
    <row r="88" spans="1:47" ht="16.5">
      <c r="R88" s="2"/>
      <c r="S88" s="2"/>
      <c r="T88" s="4" t="s">
        <v>455</v>
      </c>
      <c r="U88" s="2" t="s">
        <v>127</v>
      </c>
      <c r="V88" s="4" t="s">
        <v>128</v>
      </c>
      <c r="W88" s="2" t="s">
        <v>32</v>
      </c>
      <c r="X88" s="2" t="s">
        <v>33</v>
      </c>
      <c r="Y88" s="2" t="s">
        <v>453</v>
      </c>
      <c r="Z88" s="2" t="s">
        <v>35</v>
      </c>
      <c r="AA88" s="2" t="s">
        <v>36</v>
      </c>
      <c r="AB88" s="4" t="s">
        <v>37</v>
      </c>
      <c r="AC88" s="2"/>
      <c r="AD88" s="2"/>
      <c r="AE88" s="2"/>
      <c r="AF88" s="2"/>
      <c r="AG88" s="2">
        <v>18.46</v>
      </c>
      <c r="AH88" s="4" t="s">
        <v>38</v>
      </c>
      <c r="AI88" s="4">
        <v>0.55000000000000004</v>
      </c>
      <c r="AJ88" s="4">
        <v>19.010000000000002</v>
      </c>
      <c r="AK88" s="2" t="s">
        <v>39</v>
      </c>
      <c r="AL88" s="4" t="s">
        <v>40</v>
      </c>
      <c r="AM88" s="2" t="s">
        <v>41</v>
      </c>
      <c r="AN88" s="2" t="s">
        <v>42</v>
      </c>
      <c r="AO88" s="2" t="s">
        <v>41</v>
      </c>
      <c r="AP88" s="2" t="s">
        <v>130</v>
      </c>
      <c r="AQ88" s="2"/>
      <c r="AR88" s="7" t="s">
        <v>481</v>
      </c>
    </row>
    <row r="89" spans="1:47" ht="14.25">
      <c r="A89"/>
      <c r="E89"/>
      <c r="I89"/>
      <c r="O89"/>
      <c r="P89"/>
      <c r="Q89"/>
      <c r="R89" s="2"/>
      <c r="S89" s="2"/>
      <c r="T89" s="4" t="s">
        <v>456</v>
      </c>
      <c r="U89" s="2" t="s">
        <v>457</v>
      </c>
      <c r="V89" s="4" t="s">
        <v>458</v>
      </c>
      <c r="W89" s="2" t="s">
        <v>32</v>
      </c>
      <c r="X89" s="2" t="s">
        <v>33</v>
      </c>
      <c r="Y89" s="2" t="s">
        <v>459</v>
      </c>
      <c r="Z89" s="2" t="s">
        <v>460</v>
      </c>
      <c r="AA89" s="2" t="s">
        <v>28</v>
      </c>
      <c r="AB89" s="4" t="s">
        <v>461</v>
      </c>
      <c r="AC89" s="2"/>
      <c r="AD89" s="2"/>
      <c r="AE89" s="2"/>
      <c r="AF89" s="2"/>
      <c r="AG89" s="2">
        <v>2.21</v>
      </c>
      <c r="AH89" s="4" t="s">
        <v>107</v>
      </c>
      <c r="AI89" s="4">
        <v>0.28999999999999998</v>
      </c>
      <c r="AJ89" s="4">
        <v>2.5</v>
      </c>
      <c r="AK89" s="2" t="s">
        <v>39</v>
      </c>
      <c r="AL89" s="4" t="s">
        <v>76</v>
      </c>
      <c r="AM89" s="2" t="s">
        <v>41</v>
      </c>
      <c r="AN89" s="2" t="s">
        <v>42</v>
      </c>
      <c r="AO89" s="2" t="s">
        <v>41</v>
      </c>
      <c r="AP89" s="2" t="s">
        <v>462</v>
      </c>
      <c r="AQ89" s="2" t="s">
        <v>463</v>
      </c>
    </row>
    <row r="90" spans="1:47" ht="16.5">
      <c r="R90" s="2"/>
      <c r="S90" s="2"/>
      <c r="T90" s="4" t="s">
        <v>464</v>
      </c>
      <c r="U90" s="2" t="s">
        <v>127</v>
      </c>
      <c r="V90" s="4" t="s">
        <v>128</v>
      </c>
      <c r="W90" s="2" t="s">
        <v>32</v>
      </c>
      <c r="X90" s="2" t="s">
        <v>33</v>
      </c>
      <c r="Y90" s="2" t="s">
        <v>465</v>
      </c>
      <c r="Z90" s="2" t="s">
        <v>35</v>
      </c>
      <c r="AA90" s="2" t="s">
        <v>36</v>
      </c>
      <c r="AB90" s="4" t="s">
        <v>37</v>
      </c>
      <c r="AC90" s="2"/>
      <c r="AD90" s="2"/>
      <c r="AE90" s="2"/>
      <c r="AF90" s="2"/>
      <c r="AG90" s="2">
        <v>62.72</v>
      </c>
      <c r="AH90" s="4" t="s">
        <v>38</v>
      </c>
      <c r="AI90" s="4">
        <v>1.88</v>
      </c>
      <c r="AJ90" s="4">
        <v>64.599999999999994</v>
      </c>
      <c r="AK90" s="2" t="s">
        <v>39</v>
      </c>
      <c r="AL90" s="4" t="s">
        <v>40</v>
      </c>
      <c r="AM90" s="2" t="s">
        <v>41</v>
      </c>
      <c r="AN90" s="2" t="s">
        <v>42</v>
      </c>
      <c r="AO90" s="2" t="s">
        <v>41</v>
      </c>
      <c r="AP90" s="2" t="s">
        <v>130</v>
      </c>
      <c r="AQ90" s="2"/>
      <c r="AR90" s="7" t="s">
        <v>481</v>
      </c>
    </row>
    <row r="91" spans="1:47" ht="16.5">
      <c r="R91" s="2"/>
      <c r="S91" s="2"/>
      <c r="T91" s="4" t="s">
        <v>466</v>
      </c>
      <c r="U91" s="2" t="s">
        <v>467</v>
      </c>
      <c r="V91" s="4" t="s">
        <v>468</v>
      </c>
      <c r="W91" s="2" t="s">
        <v>32</v>
      </c>
      <c r="X91" s="2" t="s">
        <v>33</v>
      </c>
      <c r="Y91" s="2" t="s">
        <v>469</v>
      </c>
      <c r="Z91" s="2" t="s">
        <v>35</v>
      </c>
      <c r="AA91" s="2" t="s">
        <v>36</v>
      </c>
      <c r="AB91" s="4" t="s">
        <v>37</v>
      </c>
      <c r="AC91" s="2"/>
      <c r="AD91" s="2"/>
      <c r="AE91" s="2"/>
      <c r="AF91" s="2"/>
      <c r="AG91" s="2">
        <v>91.1</v>
      </c>
      <c r="AH91" s="4" t="s">
        <v>417</v>
      </c>
      <c r="AI91" s="4">
        <v>8.1999999999999993</v>
      </c>
      <c r="AJ91" s="4">
        <v>99.3</v>
      </c>
      <c r="AK91" s="2" t="s">
        <v>39</v>
      </c>
      <c r="AL91" s="4" t="s">
        <v>40</v>
      </c>
      <c r="AM91" s="2" t="s">
        <v>41</v>
      </c>
      <c r="AN91" s="2" t="s">
        <v>42</v>
      </c>
      <c r="AO91" s="2" t="s">
        <v>41</v>
      </c>
      <c r="AP91" s="2" t="s">
        <v>470</v>
      </c>
      <c r="AQ91" s="2"/>
      <c r="AR91" s="7" t="s">
        <v>481</v>
      </c>
    </row>
    <row r="92" spans="1:47" ht="16.5">
      <c r="R92" s="2"/>
      <c r="S92" s="2"/>
      <c r="T92" s="4" t="s">
        <v>471</v>
      </c>
      <c r="U92" s="2" t="s">
        <v>472</v>
      </c>
      <c r="V92" s="4" t="s">
        <v>473</v>
      </c>
      <c r="W92" s="2" t="s">
        <v>32</v>
      </c>
      <c r="X92" s="2" t="s">
        <v>33</v>
      </c>
      <c r="Y92" s="2" t="s">
        <v>469</v>
      </c>
      <c r="Z92" s="2" t="s">
        <v>35</v>
      </c>
      <c r="AA92" s="2" t="s">
        <v>36</v>
      </c>
      <c r="AB92" s="4" t="s">
        <v>37</v>
      </c>
      <c r="AC92" s="2"/>
      <c r="AD92" s="2"/>
      <c r="AE92" s="2"/>
      <c r="AF92" s="2"/>
      <c r="AG92" s="2">
        <v>8.6199999999999992</v>
      </c>
      <c r="AH92" s="4" t="s">
        <v>417</v>
      </c>
      <c r="AI92" s="4">
        <v>0.78</v>
      </c>
      <c r="AJ92" s="4">
        <v>9.4</v>
      </c>
      <c r="AK92" s="2" t="s">
        <v>39</v>
      </c>
      <c r="AL92" s="4" t="s">
        <v>40</v>
      </c>
      <c r="AM92" s="2" t="s">
        <v>41</v>
      </c>
      <c r="AN92" s="2" t="s">
        <v>42</v>
      </c>
      <c r="AO92" s="2" t="s">
        <v>41</v>
      </c>
      <c r="AP92" s="2" t="s">
        <v>474</v>
      </c>
      <c r="AQ92" s="2"/>
      <c r="AR92" s="7" t="s">
        <v>481</v>
      </c>
    </row>
    <row r="93" spans="1:47" ht="16.5">
      <c r="R93" s="2"/>
      <c r="S93" s="2"/>
      <c r="T93" s="4" t="s">
        <v>475</v>
      </c>
      <c r="U93" s="2" t="s">
        <v>476</v>
      </c>
      <c r="V93" s="4" t="s">
        <v>477</v>
      </c>
      <c r="W93" s="2" t="s">
        <v>32</v>
      </c>
      <c r="X93" s="2" t="s">
        <v>33</v>
      </c>
      <c r="Y93" s="2" t="s">
        <v>469</v>
      </c>
      <c r="Z93" s="2" t="s">
        <v>35</v>
      </c>
      <c r="AA93" s="2" t="s">
        <v>36</v>
      </c>
      <c r="AB93" s="4" t="s">
        <v>37</v>
      </c>
      <c r="AC93" s="2"/>
      <c r="AD93" s="2"/>
      <c r="AE93" s="2"/>
      <c r="AF93" s="2"/>
      <c r="AG93" s="2">
        <v>49.31</v>
      </c>
      <c r="AH93" s="4" t="s">
        <v>417</v>
      </c>
      <c r="AI93" s="4">
        <v>4.4400000000000004</v>
      </c>
      <c r="AJ93" s="4">
        <v>53.75</v>
      </c>
      <c r="AK93" s="2" t="s">
        <v>39</v>
      </c>
      <c r="AL93" s="4" t="s">
        <v>40</v>
      </c>
      <c r="AM93" s="2" t="s">
        <v>41</v>
      </c>
      <c r="AN93" s="2" t="s">
        <v>42</v>
      </c>
      <c r="AO93" s="2" t="s">
        <v>41</v>
      </c>
      <c r="AP93" s="2" t="s">
        <v>478</v>
      </c>
      <c r="AQ93" s="2"/>
      <c r="AR93" s="7"/>
      <c r="AU93" t="s">
        <v>654</v>
      </c>
    </row>
    <row r="94" spans="1:47" ht="16.5">
      <c r="R94" s="2"/>
      <c r="S94" s="2"/>
      <c r="T94" s="4" t="s">
        <v>479</v>
      </c>
      <c r="U94" s="2" t="s">
        <v>51</v>
      </c>
      <c r="V94" s="4" t="s">
        <v>52</v>
      </c>
      <c r="W94" s="2" t="s">
        <v>32</v>
      </c>
      <c r="X94" s="2" t="s">
        <v>33</v>
      </c>
      <c r="Y94" s="2" t="s">
        <v>480</v>
      </c>
      <c r="Z94" s="2" t="s">
        <v>35</v>
      </c>
      <c r="AA94" s="2" t="s">
        <v>36</v>
      </c>
      <c r="AB94" s="4" t="s">
        <v>37</v>
      </c>
      <c r="AC94" s="2"/>
      <c r="AD94" s="2"/>
      <c r="AE94" s="2"/>
      <c r="AF94" s="2"/>
      <c r="AG94" s="2">
        <v>22.82</v>
      </c>
      <c r="AH94" s="4" t="s">
        <v>38</v>
      </c>
      <c r="AI94" s="4">
        <v>0.68</v>
      </c>
      <c r="AJ94" s="4">
        <v>23.5</v>
      </c>
      <c r="AK94" s="2" t="s">
        <v>39</v>
      </c>
      <c r="AL94" s="4" t="s">
        <v>40</v>
      </c>
      <c r="AM94" s="2" t="s">
        <v>41</v>
      </c>
      <c r="AN94" s="2" t="s">
        <v>42</v>
      </c>
      <c r="AO94" s="2" t="s">
        <v>41</v>
      </c>
      <c r="AP94" s="2" t="s">
        <v>53</v>
      </c>
      <c r="AQ94" s="2"/>
      <c r="AR94" s="7"/>
      <c r="AU94" t="s">
        <v>654</v>
      </c>
    </row>
    <row r="95" spans="1:47">
      <c r="AH95" s="5" t="s">
        <v>482</v>
      </c>
      <c r="AL95" s="5">
        <f>SUBTOTAL(9,AI9:AI92)</f>
        <v>2102.2200000000003</v>
      </c>
    </row>
  </sheetData>
  <autoFilter ref="AL8:AL94" xr:uid="{00000000-0001-0000-0000-000000000000}"/>
  <mergeCells count="1">
    <mergeCell ref="I23:O2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dc:creator>
  <cp:lastModifiedBy>liu</cp:lastModifiedBy>
  <dcterms:created xsi:type="dcterms:W3CDTF">2015-06-05T18:19:34Z</dcterms:created>
  <dcterms:modified xsi:type="dcterms:W3CDTF">2026-04-01T03:12:06Z</dcterms:modified>
</cp:coreProperties>
</file>