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140" yWindow="435" windowWidth="22020" windowHeight="15045" firstSheet="1" activeTab="1"/>
  </bookViews>
  <sheets>
    <sheet name="字段" sheetId="3" r:id="rId1"/>
    <sheet name="2月银行帐汇总" sheetId="2" r:id="rId2"/>
    <sheet name="建行2月" sheetId="4" r:id="rId3"/>
    <sheet name="光大2月" sheetId="1" r:id="rId4"/>
    <sheet name="平安2月" sheetId="5" r:id="rId5"/>
    <sheet name="民生2月" sheetId="6" r:id="rId6"/>
    <sheet name="工行税户2月" sheetId="7" r:id="rId7"/>
  </sheets>
  <definedNames>
    <definedName name="_xlnm._FilterDatabase" localSheetId="6" hidden="1">工行税户2月!$A$1:$K$30</definedName>
    <definedName name="_xlnm._FilterDatabase" localSheetId="3" hidden="1">光大2月!$A$1:$L$43</definedName>
    <definedName name="_xlnm._FilterDatabase" localSheetId="2" hidden="1">建行2月!$A$1:$A$100</definedName>
    <definedName name="_xlnm._FilterDatabase" localSheetId="4" hidden="1">平安2月!$A$5:$K$28</definedName>
  </definedNames>
  <calcPr calcId="144525"/>
</workbook>
</file>

<file path=xl/calcChain.xml><?xml version="1.0" encoding="utf-8"?>
<calcChain xmlns="http://schemas.openxmlformats.org/spreadsheetml/2006/main">
  <c r="E76" i="4" l="1"/>
  <c r="D23" i="6" l="1"/>
  <c r="D22" i="6"/>
  <c r="D21" i="6"/>
  <c r="D19" i="6"/>
  <c r="D18" i="6"/>
  <c r="D17" i="6"/>
  <c r="D16" i="6"/>
  <c r="D31" i="6"/>
  <c r="D34" i="6" s="1"/>
  <c r="D32" i="6"/>
  <c r="D30" i="6"/>
  <c r="D29" i="6"/>
  <c r="D28" i="6"/>
  <c r="G14" i="6"/>
  <c r="F14" i="6"/>
  <c r="C26" i="5" l="1"/>
  <c r="C25" i="5"/>
  <c r="C24" i="5"/>
  <c r="C23" i="5"/>
  <c r="C22" i="5"/>
  <c r="C17" i="5"/>
  <c r="C15" i="5"/>
  <c r="C14" i="5"/>
  <c r="C13" i="5"/>
  <c r="C10" i="5"/>
  <c r="C12" i="5"/>
  <c r="C16" i="5"/>
  <c r="C11" i="5"/>
  <c r="F8" i="5"/>
  <c r="E8" i="5"/>
  <c r="F9" i="7" l="1"/>
  <c r="C16" i="7" l="1"/>
  <c r="E40" i="1" l="1"/>
  <c r="C94" i="4" l="1"/>
  <c r="F17" i="2" s="1"/>
  <c r="D17" i="2" s="1"/>
  <c r="H6" i="2" l="1"/>
  <c r="G6" i="2"/>
  <c r="C81" i="4"/>
  <c r="D27" i="1"/>
  <c r="E6" i="2" s="1"/>
  <c r="C14" i="7"/>
  <c r="I6" i="2" s="1"/>
  <c r="C25" i="7"/>
  <c r="I15" i="2" s="1"/>
  <c r="C24" i="7"/>
  <c r="C23" i="7"/>
  <c r="C18" i="7"/>
  <c r="C17" i="7"/>
  <c r="C13" i="7"/>
  <c r="C12" i="7"/>
  <c r="C11" i="7"/>
  <c r="H15" i="2"/>
  <c r="D20" i="6"/>
  <c r="G15" i="2"/>
  <c r="C95" i="4"/>
  <c r="C93" i="4"/>
  <c r="F18" i="2" s="1"/>
  <c r="C92" i="4"/>
  <c r="F15" i="2" s="1"/>
  <c r="C91" i="4"/>
  <c r="C90" i="4"/>
  <c r="C85" i="4"/>
  <c r="C84" i="4"/>
  <c r="C83" i="4"/>
  <c r="C82" i="4"/>
  <c r="C80" i="4"/>
  <c r="C79" i="4"/>
  <c r="C78" i="4"/>
  <c r="E39" i="1"/>
  <c r="E18" i="2" s="1"/>
  <c r="E37" i="1"/>
  <c r="E14" i="2" s="1"/>
  <c r="E36" i="1"/>
  <c r="D30" i="1"/>
  <c r="D29" i="1"/>
  <c r="D28" i="1"/>
  <c r="D26" i="1"/>
  <c r="E5" i="2" s="1"/>
  <c r="D25" i="1"/>
  <c r="D24" i="1"/>
  <c r="C26" i="7"/>
  <c r="C27" i="7"/>
  <c r="G9" i="7"/>
  <c r="C15" i="7"/>
  <c r="F76" i="4"/>
  <c r="C96" i="4" l="1"/>
  <c r="C87" i="4"/>
  <c r="F6" i="2"/>
  <c r="D6" i="2" s="1"/>
  <c r="E22" i="1"/>
  <c r="I7" i="2" l="1"/>
  <c r="I10" i="2"/>
  <c r="I9" i="2"/>
  <c r="I5" i="2"/>
  <c r="I4" i="2"/>
  <c r="I3" i="2"/>
  <c r="I13" i="2"/>
  <c r="I14" i="2"/>
  <c r="I18" i="2"/>
  <c r="H18" i="2"/>
  <c r="H10" i="2"/>
  <c r="H9" i="2"/>
  <c r="H7" i="2"/>
  <c r="H5" i="2"/>
  <c r="H4" i="2"/>
  <c r="G4" i="2"/>
  <c r="F14" i="2"/>
  <c r="F13" i="2"/>
  <c r="F9" i="2"/>
  <c r="F7" i="2"/>
  <c r="F5" i="2"/>
  <c r="F4" i="2"/>
  <c r="F3" i="2"/>
  <c r="F10" i="2"/>
  <c r="E41" i="1"/>
  <c r="H3" i="2"/>
  <c r="G18" i="2"/>
  <c r="G14" i="2"/>
  <c r="G13" i="2"/>
  <c r="G10" i="2"/>
  <c r="G9" i="2"/>
  <c r="G7" i="2"/>
  <c r="G5" i="2"/>
  <c r="G3" i="2"/>
  <c r="E38" i="1"/>
  <c r="E15" i="2" s="1"/>
  <c r="D15" i="2" s="1"/>
  <c r="E13" i="2"/>
  <c r="D31" i="1"/>
  <c r="E10" i="2"/>
  <c r="E9" i="2"/>
  <c r="E7" i="2"/>
  <c r="E4" i="2"/>
  <c r="E3" i="2"/>
  <c r="D22" i="1"/>
  <c r="D10" i="2" l="1"/>
  <c r="D3" i="2"/>
  <c r="D4" i="2"/>
  <c r="D5" i="2"/>
  <c r="D7" i="2"/>
  <c r="D9" i="2"/>
  <c r="H13" i="2"/>
  <c r="D13" i="2" s="1"/>
  <c r="H14" i="2"/>
  <c r="D14" i="2" s="1"/>
  <c r="E43" i="1"/>
  <c r="E44" i="1" s="1"/>
  <c r="D18" i="2"/>
  <c r="C88" i="4"/>
  <c r="C29" i="7"/>
  <c r="C30" i="7" s="1"/>
  <c r="C20" i="7"/>
  <c r="C21" i="7" s="1"/>
  <c r="D25" i="6"/>
  <c r="D26" i="6" s="1"/>
  <c r="C27" i="5"/>
  <c r="C28" i="5" s="1"/>
  <c r="C97" i="4"/>
  <c r="C19" i="5"/>
  <c r="C20" i="5" s="1"/>
  <c r="D33" i="1"/>
  <c r="D34" i="1" s="1"/>
  <c r="D8" i="2" l="1"/>
  <c r="D11" i="2" s="1"/>
  <c r="D16" i="2"/>
  <c r="D19" i="2" s="1"/>
  <c r="D35" i="6"/>
</calcChain>
</file>

<file path=xl/sharedStrings.xml><?xml version="1.0" encoding="utf-8"?>
<sst xmlns="http://schemas.openxmlformats.org/spreadsheetml/2006/main" count="3062" uniqueCount="540">
  <si>
    <t>云南溯源科技有限公司</t>
  </si>
  <si>
    <t>本公司帐户</t>
  </si>
  <si>
    <t>中国建设银行股份有限公司昆明金实支行</t>
  </si>
  <si>
    <t>支出</t>
    <phoneticPr fontId="1" type="noConversion"/>
  </si>
  <si>
    <t>货款</t>
  </si>
  <si>
    <t>货款</t>
    <phoneticPr fontId="1" type="noConversion"/>
  </si>
  <si>
    <t>工程服务费</t>
  </si>
  <si>
    <t>工程服务费</t>
    <phoneticPr fontId="1" type="noConversion"/>
  </si>
  <si>
    <t>收入</t>
    <phoneticPr fontId="1" type="noConversion"/>
  </si>
  <si>
    <t>交易日期</t>
  </si>
  <si>
    <t>交易时间</t>
  </si>
  <si>
    <t>借方发生额</t>
  </si>
  <si>
    <t>贷方发生额</t>
  </si>
  <si>
    <t>账户余额</t>
  </si>
  <si>
    <t>对方名称</t>
  </si>
  <si>
    <t>对方账号</t>
  </si>
  <si>
    <t xml:space="preserve"> 摘要</t>
  </si>
  <si>
    <t>对方银行</t>
  </si>
  <si>
    <t>凭证号</t>
  </si>
  <si>
    <t>流水号</t>
  </si>
  <si>
    <t>费用</t>
  </si>
  <si>
    <t>费用</t>
    <phoneticPr fontId="1" type="noConversion"/>
  </si>
  <si>
    <t>：工资、福利、社保、公积金</t>
    <phoneticPr fontId="1" type="noConversion"/>
  </si>
  <si>
    <t>：借款、还款、保证金、押金</t>
    <phoneticPr fontId="1" type="noConversion"/>
  </si>
  <si>
    <t>：技术服务费、劳务费</t>
    <phoneticPr fontId="1" type="noConversion"/>
  </si>
  <si>
    <t>税款</t>
  </si>
  <si>
    <t>转出金额</t>
  </si>
  <si>
    <t>转入金额</t>
  </si>
  <si>
    <t>币种</t>
  </si>
  <si>
    <t>余额</t>
  </si>
  <si>
    <t>对方单位</t>
  </si>
  <si>
    <t>摘要</t>
  </si>
  <si>
    <t>光大</t>
    <phoneticPr fontId="1" type="noConversion"/>
  </si>
  <si>
    <t>建行</t>
    <phoneticPr fontId="1" type="noConversion"/>
  </si>
  <si>
    <t>平安</t>
    <phoneticPr fontId="1" type="noConversion"/>
  </si>
  <si>
    <t>民生</t>
    <phoneticPr fontId="1" type="noConversion"/>
  </si>
  <si>
    <t>工行税户</t>
    <phoneticPr fontId="1" type="noConversion"/>
  </si>
  <si>
    <t>：借入款、退保证金、押金</t>
    <phoneticPr fontId="1" type="noConversion"/>
  </si>
  <si>
    <t>：补贴、…</t>
    <phoneticPr fontId="1" type="noConversion"/>
  </si>
  <si>
    <t>：办公、管理、财务、利息、税费、员工报销、手续费、修理费、汽油费</t>
    <phoneticPr fontId="1" type="noConversion"/>
  </si>
  <si>
    <t>对方户名</t>
  </si>
  <si>
    <t>记账日期</t>
  </si>
  <si>
    <t>备注</t>
  </si>
  <si>
    <t>凭证种类</t>
  </si>
  <si>
    <t>交易介质编号</t>
  </si>
  <si>
    <t>交易流水号</t>
  </si>
  <si>
    <t>工程款收入</t>
    <phoneticPr fontId="1" type="noConversion"/>
  </si>
  <si>
    <t>销售货款收入</t>
    <phoneticPr fontId="1" type="noConversion"/>
  </si>
  <si>
    <t>其它收入</t>
    <phoneticPr fontId="1" type="noConversion"/>
  </si>
  <si>
    <t>备用金取现</t>
  </si>
  <si>
    <t>备用金取现</t>
    <phoneticPr fontId="1" type="noConversion"/>
  </si>
  <si>
    <t>往来款付款</t>
  </si>
  <si>
    <t>往来款付款</t>
    <phoneticPr fontId="1" type="noConversion"/>
  </si>
  <si>
    <t>往来款收款</t>
    <phoneticPr fontId="1" type="noConversion"/>
  </si>
  <si>
    <t>薪资社保福利</t>
  </si>
  <si>
    <t>薪资社保福利</t>
    <phoneticPr fontId="1" type="noConversion"/>
  </si>
  <si>
    <t>合计</t>
    <phoneticPr fontId="1" type="noConversion"/>
  </si>
  <si>
    <t>公司帐户互转入</t>
  </si>
  <si>
    <t>公司帐户互转入</t>
    <phoneticPr fontId="1" type="noConversion"/>
  </si>
  <si>
    <t>公司帐户互转出</t>
  </si>
  <si>
    <t>公司帐户互转出</t>
    <phoneticPr fontId="1" type="noConversion"/>
  </si>
  <si>
    <t>分类</t>
    <phoneticPr fontId="1" type="noConversion"/>
  </si>
  <si>
    <t>分类说明</t>
    <phoneticPr fontId="1" type="noConversion"/>
  </si>
  <si>
    <t>代购公车款</t>
  </si>
  <si>
    <t>53001905038050548106</t>
  </si>
  <si>
    <t>人民币元</t>
  </si>
  <si>
    <t/>
  </si>
  <si>
    <t>手续费</t>
  </si>
  <si>
    <t>对公人民币转账、汇款（含退汇）-跨行同城</t>
  </si>
  <si>
    <t>电子转账凭证</t>
  </si>
  <si>
    <t>电子转账</t>
  </si>
  <si>
    <t>平安银行</t>
  </si>
  <si>
    <t>电子汇入</t>
  </si>
  <si>
    <t>电汇凭证</t>
  </si>
  <si>
    <t>刘树刚</t>
  </si>
  <si>
    <t>6217003860012460901</t>
  </si>
  <si>
    <t>建行昆明景江花园支行</t>
  </si>
  <si>
    <t>中国光大银行昆明分行营业部</t>
  </si>
  <si>
    <t>云南溯源科技有限公司代发工资专用</t>
  </si>
  <si>
    <t>39610121240005028</t>
  </si>
  <si>
    <t>批量账务集中处理</t>
  </si>
  <si>
    <t>建行昆明金实支行</t>
  </si>
  <si>
    <t>代理付款</t>
  </si>
  <si>
    <t>工资</t>
  </si>
  <si>
    <t xml:space="preserve">    </t>
  </si>
  <si>
    <t>吴云江</t>
  </si>
  <si>
    <t>6231900000066795218</t>
  </si>
  <si>
    <t>云南省农村信用社联合社</t>
  </si>
  <si>
    <t>田孟维</t>
  </si>
  <si>
    <t>6230580000366132285</t>
  </si>
  <si>
    <t>陈秀云</t>
  </si>
  <si>
    <t>6217997300086956565</t>
  </si>
  <si>
    <t>中国邮政储蓄银行总行</t>
  </si>
  <si>
    <t>韦代连</t>
  </si>
  <si>
    <t>6217997300086956599</t>
  </si>
  <si>
    <t>贺群梅</t>
  </si>
  <si>
    <t>6222082502009965807</t>
  </si>
  <si>
    <t>中国工商银行总行清算中心</t>
  </si>
  <si>
    <t>劳务费</t>
  </si>
  <si>
    <t>短信服务费</t>
  </si>
  <si>
    <t>2502014019350006386</t>
  </si>
  <si>
    <t>中国工商银行昆明北京路支行</t>
  </si>
  <si>
    <t>收费</t>
  </si>
  <si>
    <t>15990259060093</t>
  </si>
  <si>
    <t>平安银行股份有限公司昆明春城支行</t>
  </si>
  <si>
    <t>代收付</t>
  </si>
  <si>
    <t>报销</t>
  </si>
  <si>
    <t>中国电信股份有限公司昆明分公司</t>
  </si>
  <si>
    <t>2502013009022108588</t>
  </si>
  <si>
    <t>中国工商银行昆明护国支行</t>
  </si>
  <si>
    <t>电子汇出</t>
  </si>
  <si>
    <t>53001090503850000002001316</t>
  </si>
  <si>
    <t>中国建设银行股份有限公司云南省分行本级核算</t>
  </si>
  <si>
    <t>收回贷款本息</t>
  </si>
  <si>
    <t>收回贷款53001090503850000002001316本息</t>
  </si>
  <si>
    <t>代发-本行同城</t>
  </si>
  <si>
    <t>对公人民币转账、汇款（含退汇）-跨行异地</t>
  </si>
  <si>
    <t>客户账号</t>
  </si>
  <si>
    <t>账户名称</t>
  </si>
  <si>
    <t>借方发生额（支取）</t>
  </si>
  <si>
    <t>贷方发生额（收入）</t>
  </si>
  <si>
    <t>对方开户机构</t>
  </si>
  <si>
    <t>账户明细编号-交易流水号</t>
  </si>
  <si>
    <t>企业流水号</t>
  </si>
  <si>
    <t>凭证号码</t>
  </si>
  <si>
    <t>个性化信息名称1</t>
  </si>
  <si>
    <t>个性化信息名称2</t>
  </si>
  <si>
    <t>个性化信息名称3</t>
  </si>
  <si>
    <t>个性化信息名称4</t>
  </si>
  <si>
    <t>个性化信息名称5</t>
  </si>
  <si>
    <t>个性化信息名称6</t>
  </si>
  <si>
    <t>个性化信息名称7</t>
  </si>
  <si>
    <t>个性化信息名称8</t>
  </si>
  <si>
    <t>个性化信息名称9</t>
  </si>
  <si>
    <t>个性化信息名称10</t>
  </si>
  <si>
    <t>个性化信息1</t>
  </si>
  <si>
    <t>个性化信息2</t>
  </si>
  <si>
    <t>个性化信息3</t>
  </si>
  <si>
    <t>个性化信息4</t>
  </si>
  <si>
    <t>个性化信息5</t>
  </si>
  <si>
    <t>个性化信息6</t>
  </si>
  <si>
    <t>个性化信息7</t>
  </si>
  <si>
    <t>个性化信息8</t>
  </si>
  <si>
    <t>个性化信息9</t>
  </si>
  <si>
    <t>个性化信息10</t>
  </si>
  <si>
    <t>选择</t>
    <phoneticPr fontId="1" type="noConversion"/>
  </si>
  <si>
    <t>对方行名</t>
  </si>
  <si>
    <t>用途</t>
  </si>
  <si>
    <t>附言</t>
  </si>
  <si>
    <r>
      <t xml:space="preserve">银行 </t>
    </r>
    <r>
      <rPr>
        <b/>
        <sz val="14"/>
        <color rgb="FF0070C0"/>
        <rFont val="等线"/>
        <family val="3"/>
        <charset val="134"/>
        <scheme val="minor"/>
      </rPr>
      <t xml:space="preserve">流出 </t>
    </r>
    <r>
      <rPr>
        <b/>
        <sz val="11"/>
        <color rgb="FF0070C0"/>
        <rFont val="等线"/>
        <family val="3"/>
        <charset val="134"/>
        <scheme val="minor"/>
      </rPr>
      <t>资金合计</t>
    </r>
    <phoneticPr fontId="1" type="noConversion"/>
  </si>
  <si>
    <r>
      <t xml:space="preserve">银行 </t>
    </r>
    <r>
      <rPr>
        <b/>
        <sz val="14"/>
        <color rgb="FF0070C0"/>
        <rFont val="等线"/>
        <family val="3"/>
        <charset val="134"/>
        <scheme val="minor"/>
      </rPr>
      <t xml:space="preserve">流入 </t>
    </r>
    <r>
      <rPr>
        <b/>
        <sz val="11"/>
        <color rgb="FF0070C0"/>
        <rFont val="等线"/>
        <family val="3"/>
        <charset val="134"/>
        <scheme val="minor"/>
      </rPr>
      <t>资金合计</t>
    </r>
    <phoneticPr fontId="1" type="noConversion"/>
  </si>
  <si>
    <t>税款</t>
    <phoneticPr fontId="1" type="noConversion"/>
  </si>
  <si>
    <t>：增值税、附加税</t>
    <phoneticPr fontId="1" type="noConversion"/>
  </si>
  <si>
    <t>设备采购、材料费</t>
    <phoneticPr fontId="1" type="noConversion"/>
  </si>
  <si>
    <t>技术服务费、劳务费</t>
    <phoneticPr fontId="1" type="noConversion"/>
  </si>
  <si>
    <t>增值税、附加税、企业所得税</t>
    <phoneticPr fontId="1" type="noConversion"/>
  </si>
  <si>
    <t>工资、福利、社保、公积金</t>
    <phoneticPr fontId="1" type="noConversion"/>
  </si>
  <si>
    <t>借出款、还款、保证金、押金</t>
    <phoneticPr fontId="1" type="noConversion"/>
  </si>
  <si>
    <t>账号</t>
  </si>
  <si>
    <t>补贴、政策退费、利息等</t>
    <phoneticPr fontId="1" type="noConversion"/>
  </si>
  <si>
    <t>53001090503850000002202545</t>
  </si>
  <si>
    <t>收回贷款53001090503850000002202545本息</t>
  </si>
  <si>
    <t>备用金存入</t>
  </si>
  <si>
    <t>备用金存入</t>
    <phoneticPr fontId="1" type="noConversion"/>
  </si>
  <si>
    <t>工程款收入</t>
  </si>
  <si>
    <r>
      <t>银行</t>
    </r>
    <r>
      <rPr>
        <b/>
        <sz val="14"/>
        <color rgb="FFFF0000"/>
        <rFont val="等线"/>
        <family val="3"/>
        <charset val="134"/>
        <scheme val="minor"/>
      </rPr>
      <t>收入</t>
    </r>
    <r>
      <rPr>
        <b/>
        <sz val="11"/>
        <color rgb="FFFF0000"/>
        <rFont val="等线"/>
        <family val="3"/>
        <charset val="134"/>
        <scheme val="minor"/>
      </rPr>
      <t>合计</t>
    </r>
    <phoneticPr fontId="1" type="noConversion"/>
  </si>
  <si>
    <t>39610188000598826</t>
  </si>
  <si>
    <t>往来款收款</t>
  </si>
  <si>
    <t>4031544</t>
  </si>
  <si>
    <t>小企业与腾龙核心系统间往来</t>
  </si>
  <si>
    <t>贷款扣款</t>
  </si>
  <si>
    <t>批量还款</t>
  </si>
  <si>
    <t>5103117</t>
  </si>
  <si>
    <t>对公金卫士手续费收入</t>
  </si>
  <si>
    <t>金卫士</t>
  </si>
  <si>
    <t>跨行转账</t>
  </si>
  <si>
    <t>待报解预算收入</t>
  </si>
  <si>
    <t>中国工商银行</t>
  </si>
  <si>
    <t>2502010011200310097</t>
  </si>
  <si>
    <t>代理国库税收收缴</t>
  </si>
  <si>
    <t>未统计公司各帐户之间转款金额</t>
    <phoneticPr fontId="1" type="noConversion"/>
  </si>
  <si>
    <t>办公、管理、财务、利息、员工报销、手续费、修理费、汽油费等</t>
    <phoneticPr fontId="1" type="noConversion"/>
  </si>
  <si>
    <t>收入</t>
  </si>
  <si>
    <t>支出</t>
  </si>
  <si>
    <t>冲正标志</t>
  </si>
  <si>
    <t>交易用途</t>
  </si>
  <si>
    <t>对方账号开户网点行号</t>
  </si>
  <si>
    <t>对方账号开户行</t>
  </si>
  <si>
    <t>交易码</t>
  </si>
  <si>
    <t>业务流水号</t>
  </si>
  <si>
    <t>主机流水号</t>
  </si>
  <si>
    <t>单位结算卡卡号</t>
  </si>
  <si>
    <t>RMB</t>
  </si>
  <si>
    <t>_</t>
  </si>
  <si>
    <t>9998</t>
  </si>
  <si>
    <t>G1009L2</t>
  </si>
  <si>
    <t>0660</t>
  </si>
  <si>
    <t>平安银行昆明分行</t>
  </si>
  <si>
    <t>M7046L2</t>
  </si>
  <si>
    <t>105731004103</t>
  </si>
  <si>
    <t>G1001</t>
  </si>
  <si>
    <t>中招国际招标有限公司云南分公司</t>
  </si>
  <si>
    <t>2502124119024521401</t>
  </si>
  <si>
    <t>中国工商银行股份有限公司昆明花园支行</t>
  </si>
  <si>
    <t>富滇银行股份有限公司</t>
  </si>
  <si>
    <r>
      <t>银行</t>
    </r>
    <r>
      <rPr>
        <b/>
        <sz val="14"/>
        <color rgb="FFFF0000"/>
        <rFont val="等线"/>
        <family val="3"/>
        <charset val="134"/>
        <scheme val="minor"/>
      </rPr>
      <t>成本费用</t>
    </r>
    <r>
      <rPr>
        <b/>
        <sz val="11"/>
        <color rgb="FFFF0000"/>
        <rFont val="等线"/>
        <family val="3"/>
        <charset val="134"/>
        <scheme val="minor"/>
      </rPr>
      <t>支出合计</t>
    </r>
    <phoneticPr fontId="1" type="noConversion"/>
  </si>
  <si>
    <t>借入款、退保证金、押金、退款等</t>
    <phoneticPr fontId="1" type="noConversion"/>
  </si>
  <si>
    <t>2026年2月
银行流水统计</t>
    <phoneticPr fontId="1" type="noConversion"/>
  </si>
  <si>
    <t>2月
支出</t>
    <phoneticPr fontId="1" type="noConversion"/>
  </si>
  <si>
    <t>2月
收入</t>
    <phoneticPr fontId="1" type="noConversion"/>
  </si>
  <si>
    <t>2026-02-14 12:04:14</t>
  </si>
  <si>
    <t>22387386</t>
  </si>
  <si>
    <t>2026-02-14 11:39:53</t>
  </si>
  <si>
    <t>22386867</t>
  </si>
  <si>
    <t>2026-02-13 17:15:05</t>
  </si>
  <si>
    <t>社保款</t>
  </si>
  <si>
    <t>2026-02-13 16:59:49</t>
  </si>
  <si>
    <t>22037956</t>
  </si>
  <si>
    <t>2026-02-04 15:27:13</t>
  </si>
  <si>
    <t>凭证类型</t>
  </si>
  <si>
    <t>对方户名/账号</t>
  </si>
  <si>
    <t>2026/02/03 10:21:33</t>
  </si>
  <si>
    <t>放款</t>
  </si>
  <si>
    <t>35420202602032105547006</t>
  </si>
  <si>
    <t>LN2211202691627495</t>
  </si>
  <si>
    <t>2026/02/03 16:14:11</t>
  </si>
  <si>
    <t>网银凭证</t>
  </si>
  <si>
    <t>00000038</t>
  </si>
  <si>
    <t>31300202602030685938667</t>
  </si>
  <si>
    <t>云南科裕腾科技有限责任公司/9140420102000037</t>
  </si>
  <si>
    <t>2211-C070470</t>
  </si>
  <si>
    <t>中国民生银行股份有限公司昆明西园路支行</t>
  </si>
  <si>
    <t>2026/02/03 17:08:52</t>
  </si>
  <si>
    <t>00000039</t>
  </si>
  <si>
    <t>31300202602030686029576</t>
  </si>
  <si>
    <t>2026/02/03 17:12:37</t>
  </si>
  <si>
    <t>00000040</t>
  </si>
  <si>
    <t>31300202602030686035470</t>
  </si>
  <si>
    <t>云南科裕腾科技有限责任公司/9140420102000037</t>
    <phoneticPr fontId="1" type="noConversion"/>
  </si>
  <si>
    <t>2211-C070470</t>
    <phoneticPr fontId="1" type="noConversion"/>
  </si>
  <si>
    <t>20260201011512</t>
  </si>
  <si>
    <t>0162802602015220311564</t>
  </si>
  <si>
    <t>0164612602010011229933</t>
  </si>
  <si>
    <t>20260201</t>
  </si>
  <si>
    <t>016461260201001122993300000001</t>
  </si>
  <si>
    <t>20260201055130</t>
  </si>
  <si>
    <t>1428062602010235788358</t>
  </si>
  <si>
    <t>0164612602010031348641</t>
  </si>
  <si>
    <t>016461260201003134864100000001</t>
  </si>
  <si>
    <t>20260227143751</t>
  </si>
  <si>
    <t>-</t>
  </si>
  <si>
    <t>0121222602274484401842</t>
  </si>
  <si>
    <t>0121222602277146530431</t>
  </si>
  <si>
    <t>0164612602270134883749</t>
  </si>
  <si>
    <t>20260227</t>
  </si>
  <si>
    <t>016461260227013488374900000001</t>
  </si>
  <si>
    <t>20260202 15:50:03</t>
  </si>
  <si>
    <t>昆明康泽电子科技有限公司</t>
  </si>
  <si>
    <t>132071516010006050</t>
  </si>
  <si>
    <t>广发银行股份有限公司</t>
  </si>
  <si>
    <t>20260202</t>
  </si>
  <si>
    <t>13348-530085036F9FUSK564L</t>
  </si>
  <si>
    <t>20260203 08:24:01</t>
  </si>
  <si>
    <t>房克丽</t>
  </si>
  <si>
    <t>6217681902921728</t>
  </si>
  <si>
    <t>中信银行总行管理部（不受理储蓄业务）</t>
  </si>
  <si>
    <t>20260203</t>
  </si>
  <si>
    <t>暂借款</t>
  </si>
  <si>
    <t>13349-5300850368436BUSRUE</t>
  </si>
  <si>
    <t>20260203 08:27:06</t>
  </si>
  <si>
    <t>6212262502001128704</t>
  </si>
  <si>
    <t>13350-5300850368565YWZ6GZ</t>
  </si>
  <si>
    <t>20260203 09:00:14</t>
  </si>
  <si>
    <t>13351-5309050388V2NP3WSAS</t>
  </si>
  <si>
    <t>108159747969</t>
  </si>
  <si>
    <t>20260203 09:16:49</t>
  </si>
  <si>
    <t>刘涵静</t>
  </si>
  <si>
    <t>6214157312905917846</t>
  </si>
  <si>
    <t>13352-53008503690VCMJ7OZR</t>
  </si>
  <si>
    <t>20260203 09:49:50</t>
  </si>
  <si>
    <t>13353-5309050389CKJOCD8VE</t>
  </si>
  <si>
    <t>108169477528</t>
  </si>
  <si>
    <t>13354-5309050389CKJOCD8VE</t>
  </si>
  <si>
    <t>20260203 09:53:05</t>
  </si>
  <si>
    <t>13355-5309050389DTU8XHHGI</t>
  </si>
  <si>
    <t>108169482833</t>
  </si>
  <si>
    <t>13356-5309050389DTU8XHHGI</t>
  </si>
  <si>
    <t>20260203 16:46:46</t>
  </si>
  <si>
    <t>13357-530905038G7MHBEUAJX</t>
  </si>
  <si>
    <t>108171405401</t>
  </si>
  <si>
    <t>昆明奥宝汽车维修有限责任公司</t>
  </si>
  <si>
    <t>692568772</t>
  </si>
  <si>
    <t>中国民生银行股份有限公司昆明北京路支行</t>
  </si>
  <si>
    <t>维修费</t>
  </si>
  <si>
    <t>13358-530905038G7MHBEUAJX</t>
  </si>
  <si>
    <t>20260204 12:40:19</t>
  </si>
  <si>
    <t>云南科裕腾科技有限责任公司</t>
  </si>
  <si>
    <t>39610188000409946</t>
  </si>
  <si>
    <t>20260204</t>
  </si>
  <si>
    <t>往来款</t>
  </si>
  <si>
    <t>13359-530085036C7M007REMT</t>
  </si>
  <si>
    <t>20260204 13:20:48</t>
  </si>
  <si>
    <t>贾小花</t>
  </si>
  <si>
    <t>6217003900007788112</t>
  </si>
  <si>
    <t>建行通海支行</t>
  </si>
  <si>
    <t>转账存入</t>
  </si>
  <si>
    <t>13360-530085036D02MCQC5FB</t>
  </si>
  <si>
    <t>20260204 13:23:17</t>
  </si>
  <si>
    <t>梁秭涛</t>
  </si>
  <si>
    <t>6212262517001360313</t>
  </si>
  <si>
    <t>13361-530085036D10W7Y08HV</t>
  </si>
  <si>
    <t>20260204 14:41:51</t>
  </si>
  <si>
    <t>2408</t>
  </si>
  <si>
    <t>贷款53001090503850000002202545</t>
  </si>
  <si>
    <t>13362-530085036E6Z3YBH2MB</t>
  </si>
  <si>
    <t>20260204 15:08:18</t>
  </si>
  <si>
    <t>13363-530905038EULVYNQSP5</t>
  </si>
  <si>
    <t>108173636112</t>
  </si>
  <si>
    <t>13364-530905038EULVYNQSP5</t>
  </si>
  <si>
    <t>20260204 15:10:44</t>
  </si>
  <si>
    <t>安雨超</t>
  </si>
  <si>
    <t>6217007170002749362</t>
  </si>
  <si>
    <t>建行盘州市双凤支行</t>
  </si>
  <si>
    <t>住宿费（红塔区友余宾馆）</t>
  </si>
  <si>
    <t>13365-530905038EVEMMX7BUE</t>
  </si>
  <si>
    <t>108173667357</t>
  </si>
  <si>
    <t>20260204 15:17:45</t>
  </si>
  <si>
    <t>13366-530905038EXW4669X9Y</t>
  </si>
  <si>
    <t>108173712739</t>
  </si>
  <si>
    <t>中科视拓（南京）科技有限公司</t>
  </si>
  <si>
    <t>125916912310001</t>
  </si>
  <si>
    <t>招商银行股份有限公司南京星火路支行</t>
  </si>
  <si>
    <t>服务费（ADL00354487）</t>
  </si>
  <si>
    <t>13367-530905038EXW4669X9Y</t>
  </si>
  <si>
    <t>20260204 15:21:00</t>
  </si>
  <si>
    <t>13368-530905038EZ5F6MY2CG</t>
  </si>
  <si>
    <t>108173733635</t>
  </si>
  <si>
    <t>服务费（ADL00823854）</t>
  </si>
  <si>
    <t>13369-530905038EZ5F6MY2CG</t>
  </si>
  <si>
    <t>20260204 15:22:29</t>
  </si>
  <si>
    <t>企业网银服务费</t>
  </si>
  <si>
    <t>企业网银服务费（包年）补缴（共1期）</t>
  </si>
  <si>
    <t>13370-530085036EZLXCM1UUB</t>
  </si>
  <si>
    <t>20260204 15:27:01</t>
  </si>
  <si>
    <t>13371-530905038F1A2T959F6</t>
  </si>
  <si>
    <t>108173769163</t>
  </si>
  <si>
    <t>13372-530905038F1A2T959F6</t>
  </si>
  <si>
    <t>20260204 15:30:29</t>
  </si>
  <si>
    <t>13373-530905038F2FZ2VSO8W</t>
  </si>
  <si>
    <t>108173777396</t>
  </si>
  <si>
    <t>13374-530905038F2FZ2VSO8W</t>
  </si>
  <si>
    <t>20260204 17:07:45</t>
  </si>
  <si>
    <t>13375-530085036GT8QNNMC90</t>
  </si>
  <si>
    <t>20260205 09:30:05</t>
  </si>
  <si>
    <t>云南瀚泞岚商贸有限公司</t>
  </si>
  <si>
    <t>135705991593</t>
  </si>
  <si>
    <t>中国银行股份有限公司昆明市科医路支行</t>
  </si>
  <si>
    <t>20260205</t>
  </si>
  <si>
    <t>13376-53008503695ODS2KAOR</t>
  </si>
  <si>
    <t>20260206 09:19:03</t>
  </si>
  <si>
    <t>20260206</t>
  </si>
  <si>
    <t>13377-53090503891RQQF03JR</t>
  </si>
  <si>
    <t>108178394829</t>
  </si>
  <si>
    <t>13378-53090503891RQQF03JR</t>
  </si>
  <si>
    <t>20260206 09:20:34</t>
  </si>
  <si>
    <t>13379-530905038928GV5WB8P</t>
  </si>
  <si>
    <t>108178398950</t>
  </si>
  <si>
    <t>13380-530905038928GV5WB8P</t>
  </si>
  <si>
    <t>20260206 09:21:50</t>
  </si>
  <si>
    <t>13381-53090503892N8ENLALH</t>
  </si>
  <si>
    <t>108178397032</t>
  </si>
  <si>
    <t>13382-53090503892N8ENLALH</t>
  </si>
  <si>
    <t>20260209 22:08:42</t>
  </si>
  <si>
    <t>20260209</t>
  </si>
  <si>
    <t>13383-530905038LQTIK5HJE7</t>
  </si>
  <si>
    <t>20260210 10:31:11</t>
  </si>
  <si>
    <t>20260210</t>
  </si>
  <si>
    <t>TC25970CS[202602]记-200</t>
  </si>
  <si>
    <t>13384-530085036A5HZKFNN09</t>
  </si>
  <si>
    <t>20260211 11:03:35</t>
  </si>
  <si>
    <t>20260211</t>
  </si>
  <si>
    <t>13385-530905038AV3U7MLXB2</t>
  </si>
  <si>
    <t>20260211 11:05:33</t>
  </si>
  <si>
    <t>13386-530905038AVT3N95F37</t>
  </si>
  <si>
    <t>20260211 11:49:39</t>
  </si>
  <si>
    <t>北京长征高科技有限公司</t>
  </si>
  <si>
    <t>2170018871</t>
  </si>
  <si>
    <t>建行北京首体南路支行</t>
  </si>
  <si>
    <t>外协</t>
  </si>
  <si>
    <t>13387-110705000BBFCA03LXQ</t>
  </si>
  <si>
    <t>2026021107652830</t>
  </si>
  <si>
    <t>108194754271</t>
  </si>
  <si>
    <t>20260212 15:08:35</t>
  </si>
  <si>
    <t>20260212</t>
  </si>
  <si>
    <t>13388-530905038EUNZLGYPV8</t>
  </si>
  <si>
    <t>108201021918</t>
  </si>
  <si>
    <t>云南元大工程咨询有限责任公司</t>
  </si>
  <si>
    <t>2502038009024579141</t>
  </si>
  <si>
    <t>中国工商银行昆明汇通支行</t>
  </si>
  <si>
    <t>招标文件（昆明卷烟厂动力设备控制系统升级改造项目）</t>
  </si>
  <si>
    <t>13389-530905038EUNZLGYPV8</t>
  </si>
  <si>
    <t>20260212 16:40:20</t>
  </si>
  <si>
    <t>13390-110705000G5EKIDYQ4V</t>
  </si>
  <si>
    <t>2026021207675488</t>
  </si>
  <si>
    <t>108202049385</t>
  </si>
  <si>
    <t>20260213 17:15:51</t>
  </si>
  <si>
    <t>20260213</t>
  </si>
  <si>
    <t>工资及过节费</t>
  </si>
  <si>
    <t>13391-530085036GW3LYB0PZL</t>
  </si>
  <si>
    <t>20260213 17:28:00</t>
  </si>
  <si>
    <t>13392-530905038H0IYX56QS3</t>
  </si>
  <si>
    <t>108208261963</t>
  </si>
  <si>
    <t>过节费</t>
  </si>
  <si>
    <t>13393-530905038H0IYX56QS3</t>
  </si>
  <si>
    <t>20260213 17:30:53</t>
  </si>
  <si>
    <t>13394-530905038H1F9W0SK8F</t>
  </si>
  <si>
    <t>108208285064</t>
  </si>
  <si>
    <t>13395-530905038H1F9W0SK8F</t>
  </si>
  <si>
    <t>20260213 18:04:15</t>
  </si>
  <si>
    <t>CN000530AP0458P260213174702374819YN</t>
  </si>
  <si>
    <t>13396-530085036HRIP3RJ7UP</t>
  </si>
  <si>
    <t>174031558525</t>
  </si>
  <si>
    <t>20260213 18:06:01</t>
  </si>
  <si>
    <t>CN000530AP0451P260213174702374655YN</t>
  </si>
  <si>
    <t>13397-530085036HS6H9SFVVO</t>
  </si>
  <si>
    <t>173812528848</t>
  </si>
  <si>
    <t>20260213 20:00:01</t>
  </si>
  <si>
    <t>13398-530905038JOY4GV6G1R</t>
  </si>
  <si>
    <t>20260213 20:14:01</t>
  </si>
  <si>
    <t>13399-530905038JTWPNL4C49</t>
  </si>
  <si>
    <t>13400-530905038JTWR9MVT7V</t>
  </si>
  <si>
    <t>20260213 20:14:02</t>
  </si>
  <si>
    <t>13401-530905038JTWT44A5TX</t>
  </si>
  <si>
    <t>13402-530905038JTWUHWCY7O</t>
  </si>
  <si>
    <t>13403-530905038JTWVTOZRPD</t>
  </si>
  <si>
    <t>20260213 20:14:03</t>
  </si>
  <si>
    <t>刘云斌</t>
  </si>
  <si>
    <t>6222082502010348613</t>
  </si>
  <si>
    <t>13404-530905038JTWX3I6C0P</t>
  </si>
  <si>
    <t>20260213 20:16:01</t>
  </si>
  <si>
    <t>13405-530905038JUM9IMNJ8S</t>
  </si>
  <si>
    <t>20260213 20:16:02</t>
  </si>
  <si>
    <t>13406-530905038JUMBERLCUC</t>
  </si>
  <si>
    <t>13407-530905038JUMD931KE8</t>
  </si>
  <si>
    <t>20260213 20:16:03</t>
  </si>
  <si>
    <t>13408-530905038JUMFGMSOV5</t>
  </si>
  <si>
    <t>13409-530905038JUMHDXF19S</t>
  </si>
  <si>
    <t>13410-530905038JUMJ1YMFZI</t>
  </si>
  <si>
    <t>20260215 09:04:01</t>
  </si>
  <si>
    <t>CN000530AP0460DSDP260215000000221YN</t>
  </si>
  <si>
    <t>20260215</t>
  </si>
  <si>
    <t>13411-5300850368WG1G28MLQ</t>
  </si>
  <si>
    <t>15000000221B</t>
  </si>
  <si>
    <t>20260215 10:20:52</t>
  </si>
  <si>
    <t>刘珂呈</t>
  </si>
  <si>
    <t>6212262502038660836</t>
  </si>
  <si>
    <t>退还货款</t>
  </si>
  <si>
    <t>13412-530085036A1QVGV81II</t>
  </si>
  <si>
    <t>20260221 01:48:27</t>
  </si>
  <si>
    <t>20260221</t>
  </si>
  <si>
    <t>13413-5300850361GK2YPOF48</t>
  </si>
  <si>
    <t>20260221 01:57:20</t>
  </si>
  <si>
    <t>13414-5300850361JQ4VLL9OG</t>
  </si>
  <si>
    <t>20260226 23:36:20</t>
  </si>
  <si>
    <t>20260226</t>
  </si>
  <si>
    <t>13415-530085036N043O2NGK7</t>
  </si>
  <si>
    <t>20260227 14:37:27</t>
  </si>
  <si>
    <t>13416-530905038E5GWV3KQ4B</t>
  </si>
  <si>
    <t>108226429565</t>
  </si>
  <si>
    <t>13417-530905038E5GWV3KQ4B</t>
  </si>
  <si>
    <t>2026-02-03</t>
  </si>
  <si>
    <t>09:50:15</t>
  </si>
  <si>
    <t>517429.58</t>
  </si>
  <si>
    <t>060</t>
  </si>
  <si>
    <t>901m63000405</t>
  </si>
  <si>
    <t>09:53:23</t>
  </si>
  <si>
    <t>1017429.58</t>
  </si>
  <si>
    <t>901l12000461</t>
  </si>
  <si>
    <t>2026-02-04</t>
  </si>
  <si>
    <t>15:08:22</t>
  </si>
  <si>
    <t>1517429.58</t>
  </si>
  <si>
    <t>901m63001698</t>
  </si>
  <si>
    <t>15:30:42</t>
  </si>
  <si>
    <t>2017429.58</t>
  </si>
  <si>
    <t>901h98001775</t>
  </si>
  <si>
    <t>2026-02-06</t>
  </si>
  <si>
    <t>09:19:09</t>
  </si>
  <si>
    <t>2317429.58</t>
  </si>
  <si>
    <t>901l16000314</t>
  </si>
  <si>
    <t>09:20:38</t>
  </si>
  <si>
    <t>2717429.58</t>
  </si>
  <si>
    <t>901l09000305</t>
  </si>
  <si>
    <t>09:22:07</t>
  </si>
  <si>
    <t>3017429.58</t>
  </si>
  <si>
    <t>901m62000320</t>
  </si>
  <si>
    <t>2026-02-09</t>
  </si>
  <si>
    <t>21:54:18</t>
  </si>
  <si>
    <t>2221.25</t>
  </si>
  <si>
    <t>396101830000001448174</t>
  </si>
  <si>
    <t>还贷[借据号=21302504005312001]</t>
  </si>
  <si>
    <t>993961001031</t>
  </si>
  <si>
    <t>2026-02-13</t>
  </si>
  <si>
    <t>16:10:09</t>
  </si>
  <si>
    <t>3002221.25</t>
  </si>
  <si>
    <t>396101830000001586190</t>
  </si>
  <si>
    <t>一般贷款21302604001081001</t>
  </si>
  <si>
    <t>昆明分行</t>
  </si>
  <si>
    <t>901C35000023</t>
  </si>
  <si>
    <t>17:14:15</t>
  </si>
  <si>
    <t>2955317.46</t>
  </si>
  <si>
    <t>云南邦臣科技有限公司</t>
  </si>
  <si>
    <t>9550880209719900118</t>
  </si>
  <si>
    <t>广发银行股份有限公司昆明第一支行</t>
  </si>
  <si>
    <t>901300048668</t>
  </si>
  <si>
    <t>17:14:58</t>
  </si>
  <si>
    <t>2916531.23</t>
  </si>
  <si>
    <t>901303048569</t>
  </si>
  <si>
    <t>17:15:37</t>
  </si>
  <si>
    <t>2731933.82</t>
  </si>
  <si>
    <t>901303048637</t>
  </si>
  <si>
    <t>2026-02-28</t>
  </si>
  <si>
    <t>09:34:00</t>
  </si>
  <si>
    <t>644933.82</t>
  </si>
  <si>
    <t>昆明易格科技有限公司</t>
  </si>
  <si>
    <t>2502124109024506787</t>
  </si>
  <si>
    <t>901139000050</t>
  </si>
  <si>
    <t>16:53:27</t>
  </si>
  <si>
    <t>494933.82</t>
  </si>
  <si>
    <t>昆明市盘龙区盛源软件开发服务部</t>
  </si>
  <si>
    <t>120871923040000000744</t>
  </si>
  <si>
    <t>技术服务费</t>
  </si>
  <si>
    <t>富滇银行股份有限公司昆明万华支行</t>
  </si>
  <si>
    <t>901313018678</t>
  </si>
  <si>
    <t>16:54:56</t>
  </si>
  <si>
    <t>331933.82</t>
  </si>
  <si>
    <t>威斯达昆明信息技术有限责任公司</t>
  </si>
  <si>
    <t>120871361010000006339</t>
  </si>
  <si>
    <t>服务费</t>
  </si>
  <si>
    <t>富滇银行股份有限公司昆明正义路支行</t>
  </si>
  <si>
    <t>901313018735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</si>
</sst>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0.00_);[Red]\(0.00\)"/>
    <numFmt numFmtId="178" formatCode="#,##0.00_);[Red]\(#,##0.00\)"/>
  </numFmts>
  <fonts count="4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rgb="FF0070C0"/>
      <name val="Arial"/>
      <family val="2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rgb="FF0070C0"/>
      <name val="等线"/>
      <family val="3"/>
      <charset val="134"/>
      <scheme val="minor"/>
    </font>
    <font>
      <sz val="11"/>
      <color rgb="FF0070C0"/>
      <name val="等线"/>
      <family val="3"/>
      <charset val="134"/>
      <scheme val="minor"/>
    </font>
    <font>
      <b/>
      <sz val="14"/>
      <color rgb="FF0070C0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0"/>
      <color indexed="8"/>
      <name val="宋体"/>
      <family val="3"/>
      <charset val="134"/>
    </font>
    <font>
      <sz val="11"/>
      <color indexed="8"/>
      <name val="等线"/>
      <family val="2"/>
      <scheme val="minor"/>
    </font>
    <font>
      <sz val="12"/>
      <name val="Arial"/>
      <family val="2"/>
    </font>
    <font>
      <sz val="1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sz val="12"/>
      <name val="宋体"/>
      <charset val="134"/>
    </font>
    <font>
      <sz val="10"/>
      <name val="Arial"/>
      <family val="2"/>
    </font>
    <font>
      <sz val="11"/>
      <color theme="1"/>
      <name val="等线"/>
      <family val="2"/>
      <charset val="134"/>
      <scheme val="minor"/>
    </font>
    <font>
      <b/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7">
    <xf numFmtId="0" fontId="0" fillId="0" borderId="0">
      <alignment vertical="center"/>
    </xf>
    <xf numFmtId="0" fontId="13" fillId="0" borderId="0">
      <alignment vertical="center"/>
    </xf>
    <xf numFmtId="0" fontId="17" fillId="0" borderId="0"/>
    <xf numFmtId="0" fontId="18" fillId="0" borderId="0"/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12" applyNumberFormat="0" applyAlignment="0" applyProtection="0">
      <alignment vertical="center"/>
    </xf>
    <xf numFmtId="0" fontId="28" fillId="9" borderId="13" applyNumberFormat="0" applyAlignment="0" applyProtection="0">
      <alignment vertical="center"/>
    </xf>
    <xf numFmtId="0" fontId="29" fillId="9" borderId="12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10" borderId="15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9" fillId="11" borderId="16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8" fillId="0" borderId="0"/>
    <xf numFmtId="0" fontId="39" fillId="0" borderId="0"/>
  </cellStyleXfs>
  <cellXfs count="112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/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vertical="center" wrapText="1"/>
    </xf>
    <xf numFmtId="4" fontId="0" fillId="0" borderId="0" xfId="0" applyNumberFormat="1" applyAlignment="1"/>
    <xf numFmtId="22" fontId="0" fillId="0" borderId="0" xfId="0" applyNumberFormat="1" applyAlignment="1">
      <alignment horizontal="right"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177" fontId="2" fillId="0" borderId="0" xfId="0" applyNumberFormat="1" applyFont="1" applyAlignment="1">
      <alignment wrapText="1"/>
    </xf>
    <xf numFmtId="0" fontId="0" fillId="0" borderId="0" xfId="0" applyFill="1">
      <alignment vertical="center"/>
    </xf>
    <xf numFmtId="177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3" fillId="0" borderId="0" xfId="0" applyFont="1">
      <alignment vertical="center"/>
    </xf>
    <xf numFmtId="177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0" fontId="3" fillId="2" borderId="0" xfId="0" applyFont="1" applyFill="1">
      <alignment vertical="center"/>
    </xf>
    <xf numFmtId="177" fontId="3" fillId="2" borderId="0" xfId="0" applyNumberFormat="1" applyFont="1" applyFill="1">
      <alignment vertical="center"/>
    </xf>
    <xf numFmtId="176" fontId="3" fillId="2" borderId="0" xfId="0" applyNumberFormat="1" applyFont="1" applyFill="1">
      <alignment vertical="center"/>
    </xf>
    <xf numFmtId="0" fontId="3" fillId="3" borderId="0" xfId="0" applyFont="1" applyFill="1">
      <alignment vertical="center"/>
    </xf>
    <xf numFmtId="177" fontId="3" fillId="3" borderId="0" xfId="0" applyNumberFormat="1" applyFont="1" applyFill="1">
      <alignment vertical="center"/>
    </xf>
    <xf numFmtId="176" fontId="3" fillId="3" borderId="0" xfId="0" applyNumberFormat="1" applyFont="1" applyFill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177" fontId="3" fillId="0" borderId="0" xfId="0" applyNumberFormat="1" applyFont="1" applyAlignment="1">
      <alignment horizontal="center" vertical="center"/>
    </xf>
    <xf numFmtId="0" fontId="0" fillId="4" borderId="0" xfId="0" applyFill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177" fontId="3" fillId="0" borderId="0" xfId="0" applyNumberFormat="1" applyFont="1" applyAlignment="1">
      <alignment horizontal="center"/>
    </xf>
    <xf numFmtId="0" fontId="3" fillId="4" borderId="2" xfId="0" applyFont="1" applyFill="1" applyBorder="1" applyAlignment="1">
      <alignment vertical="center"/>
    </xf>
    <xf numFmtId="49" fontId="0" fillId="0" borderId="0" xfId="0" applyNumberFormat="1" applyAlignment="1"/>
    <xf numFmtId="0" fontId="8" fillId="0" borderId="0" xfId="0" applyFont="1" applyAlignment="1">
      <alignment horizontal="center" wrapText="1"/>
    </xf>
    <xf numFmtId="49" fontId="8" fillId="0" borderId="0" xfId="0" applyNumberFormat="1" applyFont="1" applyAlignment="1">
      <alignment horizontal="center" wrapText="1"/>
    </xf>
    <xf numFmtId="4" fontId="8" fillId="0" borderId="0" xfId="0" applyNumberFormat="1" applyFont="1" applyAlignment="1">
      <alignment horizontal="center" wrapText="1"/>
    </xf>
    <xf numFmtId="0" fontId="11" fillId="0" borderId="0" xfId="0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178" fontId="3" fillId="0" borderId="1" xfId="0" applyNumberFormat="1" applyFont="1" applyBorder="1">
      <alignment vertical="center"/>
    </xf>
    <xf numFmtId="178" fontId="0" fillId="0" borderId="1" xfId="0" applyNumberFormat="1" applyBorder="1">
      <alignment vertical="center"/>
    </xf>
    <xf numFmtId="178" fontId="5" fillId="0" borderId="1" xfId="0" applyNumberFormat="1" applyFont="1" applyBorder="1">
      <alignment vertical="center"/>
    </xf>
    <xf numFmtId="178" fontId="6" fillId="0" borderId="1" xfId="0" applyNumberFormat="1" applyFont="1" applyBorder="1">
      <alignment vertical="center"/>
    </xf>
    <xf numFmtId="178" fontId="7" fillId="0" borderId="1" xfId="0" applyNumberFormat="1" applyFont="1" applyBorder="1">
      <alignment vertical="center"/>
    </xf>
    <xf numFmtId="178" fontId="3" fillId="4" borderId="8" xfId="0" applyNumberFormat="1" applyFont="1" applyFill="1" applyBorder="1" applyAlignment="1">
      <alignment vertical="center"/>
    </xf>
    <xf numFmtId="178" fontId="3" fillId="4" borderId="3" xfId="0" applyNumberFormat="1" applyFont="1" applyFill="1" applyBorder="1" applyAlignment="1">
      <alignment vertical="center"/>
    </xf>
    <xf numFmtId="178" fontId="4" fillId="0" borderId="1" xfId="0" applyNumberFormat="1" applyFont="1" applyBorder="1">
      <alignment vertical="center"/>
    </xf>
    <xf numFmtId="178" fontId="3" fillId="0" borderId="0" xfId="0" applyNumberFormat="1" applyFont="1">
      <alignment vertical="center"/>
    </xf>
    <xf numFmtId="178" fontId="0" fillId="0" borderId="0" xfId="0" applyNumberFormat="1">
      <alignment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178" fontId="10" fillId="4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3" fillId="4" borderId="8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14" fillId="0" borderId="0" xfId="0" applyFont="1" applyAlignment="1">
      <alignment wrapText="1"/>
    </xf>
    <xf numFmtId="0" fontId="0" fillId="0" borderId="0" xfId="0" applyBorder="1">
      <alignment vertical="center"/>
    </xf>
    <xf numFmtId="0" fontId="12" fillId="0" borderId="0" xfId="0" applyFont="1" applyBorder="1" applyAlignment="1">
      <alignment horizontal="center" vertical="center"/>
    </xf>
    <xf numFmtId="4" fontId="12" fillId="0" borderId="0" xfId="0" applyNumberFormat="1" applyFont="1" applyBorder="1" applyAlignment="1">
      <alignment horizontal="center" vertical="center"/>
    </xf>
    <xf numFmtId="0" fontId="12" fillId="0" borderId="0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15" fillId="0" borderId="1" xfId="0" applyNumberFormat="1" applyFont="1" applyBorder="1">
      <alignment vertical="center"/>
    </xf>
    <xf numFmtId="177" fontId="11" fillId="0" borderId="0" xfId="0" applyNumberFormat="1" applyFont="1" applyAlignment="1">
      <alignment horizontal="center" vertical="center"/>
    </xf>
    <xf numFmtId="178" fontId="11" fillId="0" borderId="0" xfId="0" applyNumberFormat="1" applyFont="1" applyAlignment="1">
      <alignment horizontal="center" vertical="center"/>
    </xf>
    <xf numFmtId="178" fontId="3" fillId="3" borderId="0" xfId="0" applyNumberFormat="1" applyFont="1" applyFill="1">
      <alignment vertical="center"/>
    </xf>
    <xf numFmtId="178" fontId="0" fillId="0" borderId="0" xfId="0" applyNumberFormat="1" applyFill="1">
      <alignment vertical="center"/>
    </xf>
    <xf numFmtId="0" fontId="17" fillId="0" borderId="0" xfId="2" applyNumberFormat="1" applyAlignment="1">
      <alignment horizontal="center"/>
    </xf>
    <xf numFmtId="0" fontId="17" fillId="0" borderId="0" xfId="2" applyNumberFormat="1" applyFont="1" applyAlignment="1">
      <alignment horizontal="center"/>
    </xf>
    <xf numFmtId="0" fontId="17" fillId="0" borderId="0" xfId="2" applyNumberFormat="1" applyFont="1" applyAlignment="1" applyProtection="1">
      <alignment horizontal="center" vertical="center"/>
    </xf>
    <xf numFmtId="0" fontId="13" fillId="0" borderId="0" xfId="1">
      <alignment vertical="center"/>
    </xf>
    <xf numFmtId="4" fontId="13" fillId="0" borderId="0" xfId="1" applyNumberFormat="1">
      <alignment vertical="center"/>
    </xf>
    <xf numFmtId="0" fontId="13" fillId="0" borderId="0" xfId="1" applyNumberFormat="1">
      <alignment vertical="center"/>
    </xf>
    <xf numFmtId="0" fontId="13" fillId="0" borderId="0" xfId="1" applyNumberFormat="1" applyAlignment="1"/>
    <xf numFmtId="49" fontId="13" fillId="0" borderId="0" xfId="1" applyNumberFormat="1" applyAlignment="1"/>
    <xf numFmtId="0" fontId="13" fillId="0" borderId="0" xfId="1">
      <alignment vertical="center"/>
    </xf>
    <xf numFmtId="4" fontId="13" fillId="0" borderId="0" xfId="1" applyNumberFormat="1">
      <alignment vertical="center"/>
    </xf>
    <xf numFmtId="177" fontId="12" fillId="0" borderId="0" xfId="0" applyNumberFormat="1" applyFont="1" applyBorder="1" applyAlignment="1">
      <alignment horizontal="center" vertical="center"/>
    </xf>
    <xf numFmtId="177" fontId="0" fillId="0" borderId="0" xfId="0" applyNumberFormat="1" applyAlignment="1">
      <alignment horizontal="right" vertical="center"/>
    </xf>
    <xf numFmtId="177" fontId="36" fillId="0" borderId="18" xfId="0" applyNumberFormat="1" applyFont="1" applyBorder="1" applyAlignment="1">
      <alignment horizontal="center" vertical="center" wrapText="1"/>
    </xf>
    <xf numFmtId="177" fontId="37" fillId="36" borderId="18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37" fillId="36" borderId="18" xfId="0" applyFont="1" applyFill="1" applyBorder="1" applyAlignment="1">
      <alignment horizontal="center" vertical="center" wrapText="1"/>
    </xf>
    <xf numFmtId="49" fontId="0" fillId="0" borderId="18" xfId="0" applyNumberFormat="1" applyBorder="1" applyAlignment="1">
      <alignment horizontal="center" vertical="center" wrapText="1"/>
    </xf>
    <xf numFmtId="49" fontId="36" fillId="0" borderId="18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36" fillId="0" borderId="18" xfId="0" applyFont="1" applyBorder="1" applyAlignment="1">
      <alignment horizontal="center" vertical="center" wrapText="1"/>
    </xf>
    <xf numFmtId="49" fontId="13" fillId="0" borderId="0" xfId="1" applyNumberFormat="1" applyAlignment="1"/>
    <xf numFmtId="0" fontId="39" fillId="0" borderId="0" xfId="46"/>
    <xf numFmtId="4" fontId="39" fillId="0" borderId="0" xfId="46" applyNumberFormat="1"/>
    <xf numFmtId="0" fontId="17" fillId="0" borderId="0" xfId="2" applyNumberFormat="1"/>
    <xf numFmtId="0" fontId="17" fillId="0" borderId="0" xfId="2" applyNumberFormat="1" applyFont="1" applyAlignment="1">
      <alignment horizontal="center"/>
    </xf>
    <xf numFmtId="0" fontId="17" fillId="0" borderId="0" xfId="2" applyNumberFormat="1" applyFont="1" applyAlignment="1" applyProtection="1">
      <alignment horizontal="right" vertical="center"/>
    </xf>
    <xf numFmtId="0" fontId="17" fillId="0" borderId="0" xfId="2" applyNumberFormat="1" applyFont="1" applyAlignment="1">
      <alignment horizontal="right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57" fontId="9" fillId="0" borderId="7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47">
    <cellStyle name="20% - 强调文字颜色 1" xfId="22" builtinId="30" customBuiltin="1"/>
    <cellStyle name="20% - 强调文字颜色 2" xfId="26" builtinId="34" customBuiltin="1"/>
    <cellStyle name="20% - 强调文字颜色 3" xfId="30" builtinId="38" customBuiltin="1"/>
    <cellStyle name="20% - 强调文字颜色 4" xfId="34" builtinId="42" customBuiltin="1"/>
    <cellStyle name="20% - 强调文字颜色 5" xfId="38" builtinId="46" customBuiltin="1"/>
    <cellStyle name="20% - 强调文字颜色 6" xfId="42" builtinId="50" customBuiltin="1"/>
    <cellStyle name="40% - 强调文字颜色 1" xfId="23" builtinId="31" customBuiltin="1"/>
    <cellStyle name="40% - 强调文字颜色 2" xfId="27" builtinId="35" customBuiltin="1"/>
    <cellStyle name="40% - 强调文字颜色 3" xfId="31" builtinId="39" customBuiltin="1"/>
    <cellStyle name="40% - 强调文字颜色 4" xfId="35" builtinId="43" customBuiltin="1"/>
    <cellStyle name="40% - 强调文字颜色 5" xfId="39" builtinId="47" customBuiltin="1"/>
    <cellStyle name="40% - 强调文字颜色 6" xfId="43" builtinId="51" customBuiltin="1"/>
    <cellStyle name="60% - 强调文字颜色 1" xfId="24" builtinId="32" customBuiltin="1"/>
    <cellStyle name="60% - 强调文字颜色 2" xfId="28" builtinId="36" customBuiltin="1"/>
    <cellStyle name="60% - 强调文字颜色 3" xfId="32" builtinId="40" customBuiltin="1"/>
    <cellStyle name="60% - 强调文字颜色 4" xfId="36" builtinId="44" customBuiltin="1"/>
    <cellStyle name="60% - 强调文字颜色 5" xfId="40" builtinId="48" customBuiltin="1"/>
    <cellStyle name="60% - 强调文字颜色 6" xfId="44" builtinId="52" customBuiltin="1"/>
    <cellStyle name="标题" xfId="4" builtinId="15" customBuiltin="1"/>
    <cellStyle name="标题 1" xfId="5" builtinId="16" customBuiltin="1"/>
    <cellStyle name="标题 2" xfId="6" builtinId="17" customBuiltin="1"/>
    <cellStyle name="标题 3" xfId="7" builtinId="18" customBuiltin="1"/>
    <cellStyle name="标题 4" xfId="8" builtinId="19" customBuiltin="1"/>
    <cellStyle name="差" xfId="10" builtinId="27" customBuiltin="1"/>
    <cellStyle name="常规" xfId="0" builtinId="0"/>
    <cellStyle name="常规 2" xfId="1"/>
    <cellStyle name="常规 3" xfId="2"/>
    <cellStyle name="常规 4" xfId="3"/>
    <cellStyle name="常规 5" xfId="45"/>
    <cellStyle name="常规 6" xfId="46"/>
    <cellStyle name="好" xfId="9" builtinId="26" customBuiltin="1"/>
    <cellStyle name="汇总" xfId="20" builtinId="25" customBuiltin="1"/>
    <cellStyle name="计算" xfId="14" builtinId="22" customBuiltin="1"/>
    <cellStyle name="检查单元格" xfId="16" builtinId="23" customBuiltin="1"/>
    <cellStyle name="解释性文本" xfId="19" builtinId="53" customBuiltin="1"/>
    <cellStyle name="警告文本" xfId="17" builtinId="11" customBuiltin="1"/>
    <cellStyle name="链接单元格" xfId="15" builtinId="24" customBuiltin="1"/>
    <cellStyle name="强调文字颜色 1" xfId="21" builtinId="29" customBuiltin="1"/>
    <cellStyle name="强调文字颜色 2" xfId="25" builtinId="33" customBuiltin="1"/>
    <cellStyle name="强调文字颜色 3" xfId="29" builtinId="37" customBuiltin="1"/>
    <cellStyle name="强调文字颜色 4" xfId="33" builtinId="41" customBuiltin="1"/>
    <cellStyle name="强调文字颜色 5" xfId="37" builtinId="45" customBuiltin="1"/>
    <cellStyle name="强调文字颜色 6" xfId="41" builtinId="49" customBuiltin="1"/>
    <cellStyle name="适中" xfId="11" builtinId="28" customBuiltin="1"/>
    <cellStyle name="输出" xfId="13" builtinId="21" customBuiltin="1"/>
    <cellStyle name="输入" xfId="12" builtinId="20" customBuiltin="1"/>
    <cellStyle name="注释" xfId="18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18"/>
  <sheetViews>
    <sheetView workbookViewId="0">
      <selection activeCell="C9" sqref="C9"/>
    </sheetView>
  </sheetViews>
  <sheetFormatPr defaultRowHeight="14.25" x14ac:dyDescent="0.2"/>
  <cols>
    <col min="2" max="2" width="15.125" bestFit="1" customWidth="1"/>
    <col min="3" max="3" width="36.5" bestFit="1" customWidth="1"/>
  </cols>
  <sheetData>
    <row r="4" spans="1:3" x14ac:dyDescent="0.2">
      <c r="A4" t="s">
        <v>3</v>
      </c>
      <c r="B4" t="s">
        <v>5</v>
      </c>
    </row>
    <row r="5" spans="1:3" x14ac:dyDescent="0.2">
      <c r="B5" t="s">
        <v>7</v>
      </c>
      <c r="C5" t="s">
        <v>24</v>
      </c>
    </row>
    <row r="6" spans="1:3" ht="28.5" x14ac:dyDescent="0.2">
      <c r="B6" t="s">
        <v>21</v>
      </c>
      <c r="C6" s="8" t="s">
        <v>39</v>
      </c>
    </row>
    <row r="7" spans="1:3" x14ac:dyDescent="0.2">
      <c r="B7" t="s">
        <v>151</v>
      </c>
      <c r="C7" s="8" t="s">
        <v>152</v>
      </c>
    </row>
    <row r="8" spans="1:3" x14ac:dyDescent="0.2">
      <c r="B8" t="s">
        <v>55</v>
      </c>
      <c r="C8" t="s">
        <v>22</v>
      </c>
    </row>
    <row r="9" spans="1:3" x14ac:dyDescent="0.2">
      <c r="B9" t="s">
        <v>52</v>
      </c>
      <c r="C9" t="s">
        <v>23</v>
      </c>
    </row>
    <row r="10" spans="1:3" x14ac:dyDescent="0.2">
      <c r="B10" t="s">
        <v>60</v>
      </c>
    </row>
    <row r="11" spans="1:3" x14ac:dyDescent="0.2">
      <c r="B11" t="s">
        <v>50</v>
      </c>
    </row>
    <row r="13" spans="1:3" x14ac:dyDescent="0.2">
      <c r="A13" t="s">
        <v>8</v>
      </c>
      <c r="B13" t="s">
        <v>46</v>
      </c>
      <c r="C13" s="8"/>
    </row>
    <row r="14" spans="1:3" x14ac:dyDescent="0.2">
      <c r="B14" t="s">
        <v>47</v>
      </c>
      <c r="C14" s="8"/>
    </row>
    <row r="15" spans="1:3" x14ac:dyDescent="0.2">
      <c r="B15" t="s">
        <v>53</v>
      </c>
      <c r="C15" s="8" t="s">
        <v>37</v>
      </c>
    </row>
    <row r="16" spans="1:3" x14ac:dyDescent="0.2">
      <c r="B16" t="s">
        <v>48</v>
      </c>
      <c r="C16" s="8" t="s">
        <v>38</v>
      </c>
    </row>
    <row r="17" spans="2:3" x14ac:dyDescent="0.2">
      <c r="B17" t="s">
        <v>163</v>
      </c>
      <c r="C17" s="8"/>
    </row>
    <row r="18" spans="2:3" x14ac:dyDescent="0.2">
      <c r="B18" t="s">
        <v>58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F5" sqref="F5"/>
    </sheetView>
  </sheetViews>
  <sheetFormatPr defaultRowHeight="14.25" x14ac:dyDescent="0.2"/>
  <cols>
    <col min="1" max="1" width="9" style="19"/>
    <col min="2" max="2" width="12" style="58" customWidth="1"/>
    <col min="3" max="3" width="17.5" style="58" customWidth="1"/>
    <col min="4" max="4" width="14" style="50" bestFit="1" customWidth="1"/>
    <col min="5" max="5" width="12.375" style="51" bestFit="1" customWidth="1"/>
    <col min="6" max="6" width="13.5" style="51" bestFit="1" customWidth="1"/>
    <col min="7" max="8" width="12.375" style="51" bestFit="1" customWidth="1"/>
    <col min="9" max="9" width="9.75" style="51" bestFit="1" customWidth="1"/>
  </cols>
  <sheetData>
    <row r="1" spans="1:9" ht="62.25" customHeight="1" x14ac:dyDescent="0.2">
      <c r="A1" s="102" t="s">
        <v>207</v>
      </c>
      <c r="B1" s="103"/>
      <c r="C1" s="103"/>
      <c r="D1" s="103"/>
      <c r="E1" s="103"/>
      <c r="F1" s="103"/>
      <c r="G1" s="103"/>
      <c r="H1" s="103"/>
      <c r="I1" s="103"/>
    </row>
    <row r="2" spans="1:9" s="55" customFormat="1" ht="24" customHeight="1" x14ac:dyDescent="0.2">
      <c r="A2" s="52"/>
      <c r="B2" s="53" t="s">
        <v>61</v>
      </c>
      <c r="C2" s="53" t="s">
        <v>62</v>
      </c>
      <c r="D2" s="54" t="s">
        <v>56</v>
      </c>
      <c r="E2" s="54" t="s">
        <v>32</v>
      </c>
      <c r="F2" s="54" t="s">
        <v>33</v>
      </c>
      <c r="G2" s="54" t="s">
        <v>34</v>
      </c>
      <c r="H2" s="54" t="s">
        <v>35</v>
      </c>
      <c r="I2" s="54" t="s">
        <v>36</v>
      </c>
    </row>
    <row r="3" spans="1:9" ht="27.75" customHeight="1" x14ac:dyDescent="0.2">
      <c r="A3" s="106" t="s">
        <v>208</v>
      </c>
      <c r="B3" s="57" t="s">
        <v>5</v>
      </c>
      <c r="C3" s="57" t="s">
        <v>153</v>
      </c>
      <c r="D3" s="42">
        <f>SUM(E3:I3)</f>
        <v>0</v>
      </c>
      <c r="E3" s="43">
        <f>光大2月!D24</f>
        <v>0</v>
      </c>
      <c r="F3" s="43">
        <f>建行2月!C78</f>
        <v>0</v>
      </c>
      <c r="G3" s="43">
        <f>平安2月!C10</f>
        <v>0</v>
      </c>
      <c r="H3" s="43">
        <f>民生2月!D16</f>
        <v>0</v>
      </c>
      <c r="I3" s="43">
        <f>工行税户2月!C11</f>
        <v>0</v>
      </c>
    </row>
    <row r="4" spans="1:9" ht="33" customHeight="1" x14ac:dyDescent="0.2">
      <c r="A4" s="107"/>
      <c r="B4" s="57" t="s">
        <v>7</v>
      </c>
      <c r="C4" s="57" t="s">
        <v>154</v>
      </c>
      <c r="D4" s="42">
        <f ca="1">SUM(E4:I4)</f>
        <v>46903.79</v>
      </c>
      <c r="E4" s="43">
        <f>光大2月!D25</f>
        <v>46903.79</v>
      </c>
      <c r="F4" s="43">
        <f>建行2月!C79</f>
        <v>0</v>
      </c>
      <c r="G4" s="43">
        <f ca="1">平安2月!C11</f>
        <v>0</v>
      </c>
      <c r="H4" s="43">
        <f>民生2月!D17</f>
        <v>0</v>
      </c>
      <c r="I4" s="43">
        <f>工行税户2月!C12</f>
        <v>0</v>
      </c>
    </row>
    <row r="5" spans="1:9" ht="63" customHeight="1" x14ac:dyDescent="0.2">
      <c r="A5" s="107"/>
      <c r="B5" s="57" t="s">
        <v>21</v>
      </c>
      <c r="C5" s="57" t="s">
        <v>181</v>
      </c>
      <c r="D5" s="42">
        <f t="shared" ref="D5:D7" si="0">SUM(E5:I5)</f>
        <v>19321.870000000003</v>
      </c>
      <c r="E5" s="43">
        <f>光大2月!D26</f>
        <v>0</v>
      </c>
      <c r="F5" s="43">
        <f>建行2月!C80</f>
        <v>12830.54</v>
      </c>
      <c r="G5" s="43">
        <f>平安2月!C12</f>
        <v>6459.33</v>
      </c>
      <c r="H5" s="43">
        <f>民生2月!D18</f>
        <v>32</v>
      </c>
      <c r="I5" s="43">
        <f>工行税户2月!C13</f>
        <v>0</v>
      </c>
    </row>
    <row r="6" spans="1:9" ht="34.5" customHeight="1" x14ac:dyDescent="0.2">
      <c r="A6" s="107"/>
      <c r="B6" s="57" t="s">
        <v>151</v>
      </c>
      <c r="C6" s="57" t="s">
        <v>155</v>
      </c>
      <c r="D6" s="42">
        <f t="shared" si="0"/>
        <v>3219.32</v>
      </c>
      <c r="E6" s="43">
        <f>光大2月!D27</f>
        <v>0</v>
      </c>
      <c r="F6" s="43">
        <f>建行2月!C81</f>
        <v>2500</v>
      </c>
      <c r="G6" s="43">
        <f>平安2月!C13</f>
        <v>0</v>
      </c>
      <c r="H6" s="43">
        <f>民生2月!D19</f>
        <v>0</v>
      </c>
      <c r="I6" s="43">
        <f>工行税户2月!C14</f>
        <v>719.32</v>
      </c>
    </row>
    <row r="7" spans="1:9" ht="34.5" customHeight="1" x14ac:dyDescent="0.2">
      <c r="A7" s="107"/>
      <c r="B7" s="57" t="s">
        <v>55</v>
      </c>
      <c r="C7" s="57" t="s">
        <v>156</v>
      </c>
      <c r="D7" s="42">
        <f t="shared" si="0"/>
        <v>224814.75000000006</v>
      </c>
      <c r="E7" s="43">
        <f>光大2月!D28</f>
        <v>0</v>
      </c>
      <c r="F7" s="43">
        <f>建行2月!C82</f>
        <v>184597.25000000006</v>
      </c>
      <c r="G7" s="43">
        <f>平安2月!C14</f>
        <v>0</v>
      </c>
      <c r="H7" s="43">
        <f>民生2月!D20</f>
        <v>0</v>
      </c>
      <c r="I7" s="43">
        <f>工行税户2月!C15</f>
        <v>40217.5</v>
      </c>
    </row>
    <row r="8" spans="1:9" s="19" customFormat="1" ht="21.75" customHeight="1" x14ac:dyDescent="0.2">
      <c r="A8" s="107"/>
      <c r="B8" s="109" t="s">
        <v>205</v>
      </c>
      <c r="C8" s="110"/>
      <c r="D8" s="44">
        <f ca="1">SUM(D3:D7)</f>
        <v>294259.7300000001</v>
      </c>
      <c r="E8" s="44"/>
      <c r="F8" s="44"/>
      <c r="G8" s="44"/>
      <c r="H8" s="44"/>
      <c r="I8" s="44"/>
    </row>
    <row r="9" spans="1:9" ht="31.5" customHeight="1" x14ac:dyDescent="0.2">
      <c r="A9" s="107"/>
      <c r="B9" s="57" t="s">
        <v>52</v>
      </c>
      <c r="C9" s="57" t="s">
        <v>157</v>
      </c>
      <c r="D9" s="42">
        <f>SUM(E9:I9)</f>
        <v>6422076.8799999999</v>
      </c>
      <c r="E9" s="43">
        <f>光大2月!D29</f>
        <v>5415208.3300000001</v>
      </c>
      <c r="F9" s="43">
        <f>建行2月!C83</f>
        <v>6868.55</v>
      </c>
      <c r="G9" s="43">
        <f>平安2月!C15</f>
        <v>0</v>
      </c>
      <c r="H9" s="43">
        <f>民生2月!D21</f>
        <v>1000000</v>
      </c>
      <c r="I9" s="43">
        <f>工行税户2月!C16</f>
        <v>0</v>
      </c>
    </row>
    <row r="10" spans="1:9" ht="27.75" customHeight="1" x14ac:dyDescent="0.2">
      <c r="A10" s="107"/>
      <c r="B10" s="57" t="s">
        <v>50</v>
      </c>
      <c r="C10" s="57"/>
      <c r="D10" s="42">
        <f>SUM(E10:I10)</f>
        <v>0</v>
      </c>
      <c r="E10" s="43">
        <f>光大2月!D30</f>
        <v>0</v>
      </c>
      <c r="F10" s="43">
        <f>建行2月!C84</f>
        <v>0</v>
      </c>
      <c r="G10" s="43">
        <f>平安2月!C16</f>
        <v>0</v>
      </c>
      <c r="H10" s="43">
        <f>民生2月!D22</f>
        <v>0</v>
      </c>
      <c r="I10" s="43">
        <f>工行税户2月!C17</f>
        <v>0</v>
      </c>
    </row>
    <row r="11" spans="1:9" s="33" customFormat="1" ht="24" customHeight="1" x14ac:dyDescent="0.2">
      <c r="A11" s="108"/>
      <c r="B11" s="104" t="s">
        <v>149</v>
      </c>
      <c r="C11" s="105"/>
      <c r="D11" s="45">
        <f ca="1">D8+D9+D10</f>
        <v>6716336.6100000003</v>
      </c>
      <c r="E11" s="46"/>
      <c r="F11" s="46"/>
      <c r="G11" s="46"/>
      <c r="H11" s="46"/>
      <c r="I11" s="46"/>
    </row>
    <row r="12" spans="1:9" s="31" customFormat="1" x14ac:dyDescent="0.2">
      <c r="A12" s="35"/>
      <c r="B12" s="56"/>
      <c r="C12" s="59"/>
      <c r="D12" s="47"/>
      <c r="E12" s="47"/>
      <c r="F12" s="47"/>
      <c r="G12" s="47"/>
      <c r="H12" s="47"/>
      <c r="I12" s="48"/>
    </row>
    <row r="13" spans="1:9" ht="24" customHeight="1" x14ac:dyDescent="0.2">
      <c r="A13" s="100" t="s">
        <v>209</v>
      </c>
      <c r="B13" s="57" t="s">
        <v>46</v>
      </c>
      <c r="C13" s="57"/>
      <c r="D13" s="42">
        <f>SUM(E13:I13)</f>
        <v>241458.55</v>
      </c>
      <c r="E13" s="43">
        <f>光大2月!E36</f>
        <v>0</v>
      </c>
      <c r="F13" s="43">
        <f>建行2月!C90</f>
        <v>241458.55</v>
      </c>
      <c r="G13" s="43">
        <f>平安2月!C22</f>
        <v>0</v>
      </c>
      <c r="H13" s="43">
        <f>民生2月!D28</f>
        <v>0</v>
      </c>
      <c r="I13" s="43">
        <f>工行税户2月!C23</f>
        <v>0</v>
      </c>
    </row>
    <row r="14" spans="1:9" ht="27.75" customHeight="1" x14ac:dyDescent="0.2">
      <c r="A14" s="101"/>
      <c r="B14" s="57" t="s">
        <v>47</v>
      </c>
      <c r="C14" s="57"/>
      <c r="D14" s="42">
        <f t="shared" ref="D14" si="1">SUM(E14:I14)</f>
        <v>0</v>
      </c>
      <c r="E14" s="43">
        <f>光大2月!E37</f>
        <v>0</v>
      </c>
      <c r="F14" s="43">
        <f>建行2月!C91</f>
        <v>0</v>
      </c>
      <c r="G14" s="43">
        <f>平安2月!C23</f>
        <v>0</v>
      </c>
      <c r="H14" s="43">
        <f>民生2月!D29</f>
        <v>0</v>
      </c>
      <c r="I14" s="43">
        <f>工行税户2月!C24</f>
        <v>0</v>
      </c>
    </row>
    <row r="15" spans="1:9" ht="28.5" x14ac:dyDescent="0.2">
      <c r="A15" s="101"/>
      <c r="B15" s="57" t="s">
        <v>48</v>
      </c>
      <c r="C15" s="57" t="s">
        <v>159</v>
      </c>
      <c r="D15" s="42">
        <f>SUM(E15:I15)</f>
        <v>0</v>
      </c>
      <c r="E15" s="43">
        <f>光大2月!E38</f>
        <v>0</v>
      </c>
      <c r="F15" s="43">
        <f>建行2月!C92</f>
        <v>0</v>
      </c>
      <c r="G15" s="43">
        <f>平安2月!C24</f>
        <v>0</v>
      </c>
      <c r="H15" s="43">
        <f>民生2月!D30</f>
        <v>0</v>
      </c>
      <c r="I15" s="43">
        <f>工行税户2月!C25</f>
        <v>0</v>
      </c>
    </row>
    <row r="16" spans="1:9" s="32" customFormat="1" ht="25.5" customHeight="1" x14ac:dyDescent="0.2">
      <c r="A16" s="101"/>
      <c r="B16" s="111" t="s">
        <v>165</v>
      </c>
      <c r="C16" s="111"/>
      <c r="D16" s="44">
        <f>SUM(D13:D15)</f>
        <v>241458.55</v>
      </c>
      <c r="E16" s="49"/>
      <c r="F16" s="49"/>
      <c r="G16" s="49"/>
      <c r="H16" s="49"/>
      <c r="I16" s="49"/>
    </row>
    <row r="17" spans="1:9" s="32" customFormat="1" ht="25.5" customHeight="1" x14ac:dyDescent="0.2">
      <c r="A17" s="101"/>
      <c r="B17" s="57" t="s">
        <v>163</v>
      </c>
      <c r="C17" s="65"/>
      <c r="D17" s="42">
        <f>SUM(E17:I17)</f>
        <v>0</v>
      </c>
      <c r="E17" s="43"/>
      <c r="F17" s="66">
        <f>建行2月!C94</f>
        <v>0</v>
      </c>
      <c r="G17" s="49"/>
      <c r="H17" s="49"/>
      <c r="I17" s="49"/>
    </row>
    <row r="18" spans="1:9" ht="37.5" customHeight="1" x14ac:dyDescent="0.2">
      <c r="A18" s="101"/>
      <c r="B18" s="57" t="s">
        <v>53</v>
      </c>
      <c r="C18" s="57" t="s">
        <v>206</v>
      </c>
      <c r="D18" s="42">
        <f>SUM(E18:I18)</f>
        <v>6960000.4800000004</v>
      </c>
      <c r="E18" s="43">
        <f>光大2月!E39</f>
        <v>3000000</v>
      </c>
      <c r="F18" s="43">
        <f>建行2月!C93</f>
        <v>2960000.48</v>
      </c>
      <c r="G18" s="43">
        <f>平安2月!C25</f>
        <v>0</v>
      </c>
      <c r="H18" s="43">
        <f>民生2月!D31</f>
        <v>1000000</v>
      </c>
      <c r="I18" s="43">
        <f>工行税户2月!C26</f>
        <v>0</v>
      </c>
    </row>
    <row r="19" spans="1:9" s="33" customFormat="1" ht="23.25" customHeight="1" x14ac:dyDescent="0.2">
      <c r="A19" s="101"/>
      <c r="B19" s="99" t="s">
        <v>150</v>
      </c>
      <c r="C19" s="99"/>
      <c r="D19" s="45">
        <f>D16+D17+D18</f>
        <v>7201459.0300000003</v>
      </c>
      <c r="E19" s="46"/>
      <c r="F19" s="46"/>
      <c r="G19" s="46"/>
      <c r="H19" s="46"/>
      <c r="I19" s="46"/>
    </row>
    <row r="21" spans="1:9" ht="22.5" customHeight="1" x14ac:dyDescent="0.2">
      <c r="B21" s="98" t="s">
        <v>180</v>
      </c>
      <c r="C21" s="98"/>
      <c r="D21" s="98"/>
    </row>
  </sheetData>
  <mergeCells count="8">
    <mergeCell ref="B21:D21"/>
    <mergeCell ref="B19:C19"/>
    <mergeCell ref="A13:A19"/>
    <mergeCell ref="A1:I1"/>
    <mergeCell ref="B11:C11"/>
    <mergeCell ref="A3:A11"/>
    <mergeCell ref="B8:C8"/>
    <mergeCell ref="B16:C16"/>
  </mergeCells>
  <phoneticPr fontId="1" type="noConversion"/>
  <pageMargins left="0.7" right="0.7" top="0.75" bottom="0.75" header="0.3" footer="0.3"/>
  <pageSetup paperSize="9" orientation="portrait" r:id="rId1"/>
  <ignoredErrors>
    <ignoredError sqref="D8 D1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"/>
  <sheetViews>
    <sheetView zoomScale="115" zoomScaleNormal="115" workbookViewId="0">
      <selection activeCell="B18" sqref="B18"/>
    </sheetView>
  </sheetViews>
  <sheetFormatPr defaultRowHeight="14.25" x14ac:dyDescent="0.2"/>
  <cols>
    <col min="1" max="1" width="15.125" bestFit="1" customWidth="1"/>
    <col min="2" max="2" width="22.75" customWidth="1"/>
    <col min="3" max="3" width="21.375" style="7" customWidth="1"/>
    <col min="4" max="4" width="17.5" style="4" customWidth="1"/>
    <col min="5" max="6" width="14" bestFit="1" customWidth="1"/>
    <col min="7" max="7" width="11.625" bestFit="1" customWidth="1"/>
    <col min="8" max="8" width="9" bestFit="1" customWidth="1"/>
    <col min="9" max="9" width="46.375" bestFit="1" customWidth="1"/>
    <col min="10" max="10" width="40.625" customWidth="1"/>
    <col min="11" max="11" width="48.375" customWidth="1"/>
    <col min="12" max="12" width="11.375" customWidth="1"/>
    <col min="13" max="13" width="17.25" customWidth="1"/>
    <col min="14" max="14" width="105.5" bestFit="1" customWidth="1"/>
    <col min="15" max="15" width="31.375" bestFit="1" customWidth="1"/>
    <col min="16" max="16" width="14" bestFit="1" customWidth="1"/>
    <col min="17" max="17" width="25.5" bestFit="1" customWidth="1"/>
    <col min="18" max="18" width="18.375" bestFit="1" customWidth="1"/>
    <col min="19" max="27" width="14" bestFit="1" customWidth="1"/>
    <col min="28" max="28" width="16.625" bestFit="1" customWidth="1"/>
    <col min="29" max="38" width="11.375" bestFit="1" customWidth="1"/>
    <col min="39" max="39" width="18.375" bestFit="1" customWidth="1"/>
  </cols>
  <sheetData>
    <row r="1" spans="1:40" s="37" customFormat="1" ht="36" x14ac:dyDescent="0.25">
      <c r="A1" s="37" t="s">
        <v>145</v>
      </c>
      <c r="B1" s="38" t="s">
        <v>117</v>
      </c>
      <c r="C1" s="38" t="s">
        <v>118</v>
      </c>
      <c r="D1" s="38" t="s">
        <v>10</v>
      </c>
      <c r="E1" s="39" t="s">
        <v>119</v>
      </c>
      <c r="F1" s="39" t="s">
        <v>120</v>
      </c>
      <c r="G1" s="39" t="s">
        <v>29</v>
      </c>
      <c r="H1" s="39" t="s">
        <v>28</v>
      </c>
      <c r="I1" s="38" t="s">
        <v>40</v>
      </c>
      <c r="J1" s="38" t="s">
        <v>15</v>
      </c>
      <c r="K1" s="38" t="s">
        <v>121</v>
      </c>
      <c r="L1" s="38" t="s">
        <v>41</v>
      </c>
      <c r="M1" s="38" t="s">
        <v>31</v>
      </c>
      <c r="N1" s="38" t="s">
        <v>42</v>
      </c>
      <c r="O1" s="38" t="s">
        <v>122</v>
      </c>
      <c r="P1" s="38" t="s">
        <v>123</v>
      </c>
      <c r="Q1" s="38" t="s">
        <v>43</v>
      </c>
      <c r="R1" s="38" t="s">
        <v>124</v>
      </c>
      <c r="S1" s="38" t="s">
        <v>125</v>
      </c>
      <c r="T1" s="38" t="s">
        <v>126</v>
      </c>
      <c r="U1" s="38" t="s">
        <v>127</v>
      </c>
      <c r="V1" s="38" t="s">
        <v>128</v>
      </c>
      <c r="W1" s="38" t="s">
        <v>129</v>
      </c>
      <c r="X1" s="38" t="s">
        <v>130</v>
      </c>
      <c r="Y1" s="38" t="s">
        <v>131</v>
      </c>
      <c r="Z1" s="38" t="s">
        <v>132</v>
      </c>
      <c r="AA1" s="38" t="s">
        <v>133</v>
      </c>
      <c r="AB1" s="38" t="s">
        <v>134</v>
      </c>
      <c r="AC1" s="38" t="s">
        <v>135</v>
      </c>
      <c r="AD1" s="38" t="s">
        <v>136</v>
      </c>
      <c r="AE1" s="38" t="s">
        <v>137</v>
      </c>
      <c r="AF1" s="38" t="s">
        <v>138</v>
      </c>
      <c r="AG1" s="38" t="s">
        <v>139</v>
      </c>
      <c r="AH1" s="38" t="s">
        <v>140</v>
      </c>
      <c r="AI1" s="38" t="s">
        <v>141</v>
      </c>
      <c r="AJ1" s="38" t="s">
        <v>142</v>
      </c>
      <c r="AK1" s="38" t="s">
        <v>143</v>
      </c>
      <c r="AL1" s="38" t="s">
        <v>144</v>
      </c>
      <c r="AM1" s="38" t="s">
        <v>44</v>
      </c>
      <c r="AN1" s="37" t="s">
        <v>66</v>
      </c>
    </row>
    <row r="2" spans="1:40" s="13" customFormat="1" ht="15.75" x14ac:dyDescent="0.25">
      <c r="C2" s="15"/>
      <c r="G2" s="14"/>
    </row>
    <row r="3" spans="1:40" x14ac:dyDescent="0.2">
      <c r="A3" t="s">
        <v>167</v>
      </c>
      <c r="B3" s="92" t="s">
        <v>64</v>
      </c>
      <c r="C3" s="92" t="s">
        <v>0</v>
      </c>
      <c r="D3" s="92" t="s">
        <v>256</v>
      </c>
      <c r="E3" s="93">
        <v>0</v>
      </c>
      <c r="F3" s="93">
        <v>500000</v>
      </c>
      <c r="G3" s="93">
        <v>624077.96</v>
      </c>
      <c r="H3" s="92" t="s">
        <v>65</v>
      </c>
      <c r="I3" s="92" t="s">
        <v>257</v>
      </c>
      <c r="J3" s="92" t="s">
        <v>258</v>
      </c>
      <c r="K3" s="92" t="s">
        <v>259</v>
      </c>
      <c r="L3" s="92" t="s">
        <v>260</v>
      </c>
      <c r="M3" s="92" t="s">
        <v>72</v>
      </c>
      <c r="N3" s="92" t="s">
        <v>72</v>
      </c>
      <c r="O3" s="92" t="s">
        <v>261</v>
      </c>
      <c r="P3" s="92" t="s">
        <v>66</v>
      </c>
      <c r="Q3" s="92" t="s">
        <v>73</v>
      </c>
      <c r="R3" s="92" t="s">
        <v>66</v>
      </c>
      <c r="S3" s="92" t="s">
        <v>66</v>
      </c>
      <c r="T3" s="92" t="s">
        <v>66</v>
      </c>
      <c r="U3" s="92" t="s">
        <v>66</v>
      </c>
      <c r="V3" s="92" t="s">
        <v>66</v>
      </c>
      <c r="W3" s="92" t="s">
        <v>66</v>
      </c>
      <c r="X3" s="92" t="s">
        <v>66</v>
      </c>
      <c r="Y3" s="92" t="s">
        <v>66</v>
      </c>
      <c r="Z3" s="92" t="s">
        <v>66</v>
      </c>
      <c r="AA3" s="92" t="s">
        <v>66</v>
      </c>
      <c r="AB3" s="92" t="s">
        <v>66</v>
      </c>
      <c r="AC3" s="92" t="s">
        <v>66</v>
      </c>
      <c r="AD3" s="92" t="s">
        <v>66</v>
      </c>
      <c r="AE3" s="92" t="s">
        <v>66</v>
      </c>
      <c r="AF3" s="92" t="s">
        <v>66</v>
      </c>
      <c r="AG3" s="92" t="s">
        <v>66</v>
      </c>
      <c r="AH3" s="92" t="s">
        <v>66</v>
      </c>
      <c r="AI3" s="92" t="s">
        <v>66</v>
      </c>
      <c r="AJ3" s="92" t="s">
        <v>66</v>
      </c>
      <c r="AK3" s="92" t="s">
        <v>66</v>
      </c>
      <c r="AL3" s="92" t="s">
        <v>66</v>
      </c>
      <c r="AM3" s="92" t="s">
        <v>66</v>
      </c>
    </row>
    <row r="4" spans="1:40" x14ac:dyDescent="0.2">
      <c r="A4" t="s">
        <v>167</v>
      </c>
      <c r="B4" s="92" t="s">
        <v>64</v>
      </c>
      <c r="C4" s="92" t="s">
        <v>0</v>
      </c>
      <c r="D4" s="92" t="s">
        <v>262</v>
      </c>
      <c r="E4" s="93">
        <v>0</v>
      </c>
      <c r="F4" s="93">
        <v>100000</v>
      </c>
      <c r="G4" s="93">
        <v>724077.96</v>
      </c>
      <c r="H4" s="92" t="s">
        <v>65</v>
      </c>
      <c r="I4" s="92" t="s">
        <v>263</v>
      </c>
      <c r="J4" s="92" t="s">
        <v>264</v>
      </c>
      <c r="K4" s="92" t="s">
        <v>265</v>
      </c>
      <c r="L4" s="92" t="s">
        <v>266</v>
      </c>
      <c r="M4" s="92" t="s">
        <v>72</v>
      </c>
      <c r="N4" s="92" t="s">
        <v>267</v>
      </c>
      <c r="O4" s="92" t="s">
        <v>268</v>
      </c>
      <c r="P4" s="92" t="s">
        <v>66</v>
      </c>
      <c r="Q4" s="92" t="s">
        <v>73</v>
      </c>
      <c r="R4" s="92" t="s">
        <v>66</v>
      </c>
      <c r="S4" s="92" t="s">
        <v>66</v>
      </c>
      <c r="T4" s="92" t="s">
        <v>66</v>
      </c>
      <c r="U4" s="92" t="s">
        <v>66</v>
      </c>
      <c r="V4" s="92" t="s">
        <v>66</v>
      </c>
      <c r="W4" s="92" t="s">
        <v>66</v>
      </c>
      <c r="X4" s="92" t="s">
        <v>66</v>
      </c>
      <c r="Y4" s="92" t="s">
        <v>66</v>
      </c>
      <c r="Z4" s="92" t="s">
        <v>66</v>
      </c>
      <c r="AA4" s="92" t="s">
        <v>66</v>
      </c>
      <c r="AB4" s="92" t="s">
        <v>66</v>
      </c>
      <c r="AC4" s="92" t="s">
        <v>66</v>
      </c>
      <c r="AD4" s="92" t="s">
        <v>66</v>
      </c>
      <c r="AE4" s="92" t="s">
        <v>66</v>
      </c>
      <c r="AF4" s="92" t="s">
        <v>66</v>
      </c>
      <c r="AG4" s="92" t="s">
        <v>66</v>
      </c>
      <c r="AH4" s="92" t="s">
        <v>66</v>
      </c>
      <c r="AI4" s="92" t="s">
        <v>66</v>
      </c>
      <c r="AJ4" s="92" t="s">
        <v>66</v>
      </c>
      <c r="AK4" s="92" t="s">
        <v>66</v>
      </c>
      <c r="AL4" s="92" t="s">
        <v>66</v>
      </c>
      <c r="AM4" s="92" t="s">
        <v>66</v>
      </c>
    </row>
    <row r="5" spans="1:40" x14ac:dyDescent="0.2">
      <c r="A5" t="s">
        <v>167</v>
      </c>
      <c r="B5" s="92" t="s">
        <v>64</v>
      </c>
      <c r="C5" s="92" t="s">
        <v>0</v>
      </c>
      <c r="D5" s="92" t="s">
        <v>269</v>
      </c>
      <c r="E5" s="93">
        <v>0</v>
      </c>
      <c r="F5" s="93">
        <v>160000</v>
      </c>
      <c r="G5" s="93">
        <v>884077.96</v>
      </c>
      <c r="H5" s="92" t="s">
        <v>65</v>
      </c>
      <c r="I5" s="92" t="s">
        <v>263</v>
      </c>
      <c r="J5" s="92" t="s">
        <v>270</v>
      </c>
      <c r="K5" s="92" t="s">
        <v>97</v>
      </c>
      <c r="L5" s="92" t="s">
        <v>266</v>
      </c>
      <c r="M5" s="92" t="s">
        <v>72</v>
      </c>
      <c r="N5" s="92" t="s">
        <v>72</v>
      </c>
      <c r="O5" s="92" t="s">
        <v>271</v>
      </c>
      <c r="P5" s="92" t="s">
        <v>66</v>
      </c>
      <c r="Q5" s="92" t="s">
        <v>73</v>
      </c>
      <c r="R5" s="92" t="s">
        <v>66</v>
      </c>
      <c r="S5" s="92" t="s">
        <v>66</v>
      </c>
      <c r="T5" s="92" t="s">
        <v>66</v>
      </c>
      <c r="U5" s="92" t="s">
        <v>66</v>
      </c>
      <c r="V5" s="92" t="s">
        <v>66</v>
      </c>
      <c r="W5" s="92" t="s">
        <v>66</v>
      </c>
      <c r="X5" s="92" t="s">
        <v>66</v>
      </c>
      <c r="Y5" s="92" t="s">
        <v>66</v>
      </c>
      <c r="Z5" s="92" t="s">
        <v>66</v>
      </c>
      <c r="AA5" s="92" t="s">
        <v>66</v>
      </c>
      <c r="AB5" s="92" t="s">
        <v>66</v>
      </c>
      <c r="AC5" s="92" t="s">
        <v>66</v>
      </c>
      <c r="AD5" s="92" t="s">
        <v>66</v>
      </c>
      <c r="AE5" s="92" t="s">
        <v>66</v>
      </c>
      <c r="AF5" s="92" t="s">
        <v>66</v>
      </c>
      <c r="AG5" s="92" t="s">
        <v>66</v>
      </c>
      <c r="AH5" s="92" t="s">
        <v>66</v>
      </c>
      <c r="AI5" s="92" t="s">
        <v>66</v>
      </c>
      <c r="AJ5" s="92" t="s">
        <v>66</v>
      </c>
      <c r="AK5" s="92" t="s">
        <v>66</v>
      </c>
      <c r="AL5" s="92" t="s">
        <v>66</v>
      </c>
      <c r="AM5" s="92" t="s">
        <v>66</v>
      </c>
    </row>
    <row r="6" spans="1:40" x14ac:dyDescent="0.2">
      <c r="A6" t="s">
        <v>51</v>
      </c>
      <c r="B6" s="92" t="s">
        <v>64</v>
      </c>
      <c r="C6" s="92" t="s">
        <v>0</v>
      </c>
      <c r="D6" s="92" t="s">
        <v>272</v>
      </c>
      <c r="E6" s="93">
        <v>6868.55</v>
      </c>
      <c r="F6" s="93">
        <v>0</v>
      </c>
      <c r="G6" s="93">
        <v>877209.41</v>
      </c>
      <c r="H6" s="92" t="s">
        <v>65</v>
      </c>
      <c r="I6" s="92" t="s">
        <v>74</v>
      </c>
      <c r="J6" s="92" t="s">
        <v>75</v>
      </c>
      <c r="K6" s="92" t="s">
        <v>76</v>
      </c>
      <c r="L6" s="92" t="s">
        <v>266</v>
      </c>
      <c r="M6" s="92" t="s">
        <v>70</v>
      </c>
      <c r="N6" s="92" t="s">
        <v>63</v>
      </c>
      <c r="O6" s="92" t="s">
        <v>273</v>
      </c>
      <c r="P6" s="92" t="s">
        <v>66</v>
      </c>
      <c r="Q6" s="92" t="s">
        <v>69</v>
      </c>
      <c r="R6" s="92" t="s">
        <v>274</v>
      </c>
      <c r="S6" s="92" t="s">
        <v>66</v>
      </c>
      <c r="T6" s="92" t="s">
        <v>66</v>
      </c>
      <c r="U6" s="92" t="s">
        <v>66</v>
      </c>
      <c r="V6" s="92" t="s">
        <v>66</v>
      </c>
      <c r="W6" s="92" t="s">
        <v>66</v>
      </c>
      <c r="X6" s="92" t="s">
        <v>66</v>
      </c>
      <c r="Y6" s="92" t="s">
        <v>66</v>
      </c>
      <c r="Z6" s="92" t="s">
        <v>66</v>
      </c>
      <c r="AA6" s="92" t="s">
        <v>66</v>
      </c>
      <c r="AB6" s="92" t="s">
        <v>66</v>
      </c>
      <c r="AC6" s="92" t="s">
        <v>66</v>
      </c>
      <c r="AD6" s="92" t="s">
        <v>66</v>
      </c>
      <c r="AE6" s="92" t="s">
        <v>66</v>
      </c>
      <c r="AF6" s="92" t="s">
        <v>66</v>
      </c>
      <c r="AG6" s="92" t="s">
        <v>66</v>
      </c>
      <c r="AH6" s="92" t="s">
        <v>66</v>
      </c>
      <c r="AI6" s="92" t="s">
        <v>66</v>
      </c>
      <c r="AJ6" s="92" t="s">
        <v>66</v>
      </c>
      <c r="AK6" s="92" t="s">
        <v>66</v>
      </c>
      <c r="AL6" s="92" t="s">
        <v>66</v>
      </c>
      <c r="AM6" s="92" t="s">
        <v>66</v>
      </c>
    </row>
    <row r="7" spans="1:40" x14ac:dyDescent="0.2">
      <c r="A7" t="s">
        <v>167</v>
      </c>
      <c r="B7" s="92" t="s">
        <v>64</v>
      </c>
      <c r="C7" s="92" t="s">
        <v>0</v>
      </c>
      <c r="D7" s="92" t="s">
        <v>275</v>
      </c>
      <c r="E7" s="93">
        <v>0</v>
      </c>
      <c r="F7" s="93">
        <v>240000</v>
      </c>
      <c r="G7" s="93">
        <v>1117209.4099999999</v>
      </c>
      <c r="H7" s="92" t="s">
        <v>65</v>
      </c>
      <c r="I7" s="92" t="s">
        <v>276</v>
      </c>
      <c r="J7" s="92" t="s">
        <v>277</v>
      </c>
      <c r="K7" s="92" t="s">
        <v>204</v>
      </c>
      <c r="L7" s="92" t="s">
        <v>266</v>
      </c>
      <c r="M7" s="92" t="s">
        <v>72</v>
      </c>
      <c r="N7" s="92" t="s">
        <v>267</v>
      </c>
      <c r="O7" s="92" t="s">
        <v>278</v>
      </c>
      <c r="P7" s="92" t="s">
        <v>66</v>
      </c>
      <c r="Q7" s="92" t="s">
        <v>73</v>
      </c>
      <c r="R7" s="92" t="s">
        <v>66</v>
      </c>
      <c r="S7" s="92" t="s">
        <v>66</v>
      </c>
      <c r="T7" s="92" t="s">
        <v>66</v>
      </c>
      <c r="U7" s="92" t="s">
        <v>66</v>
      </c>
      <c r="V7" s="92" t="s">
        <v>66</v>
      </c>
      <c r="W7" s="92" t="s">
        <v>66</v>
      </c>
      <c r="X7" s="92" t="s">
        <v>66</v>
      </c>
      <c r="Y7" s="92" t="s">
        <v>66</v>
      </c>
      <c r="Z7" s="92" t="s">
        <v>66</v>
      </c>
      <c r="AA7" s="92" t="s">
        <v>66</v>
      </c>
      <c r="AB7" s="92" t="s">
        <v>66</v>
      </c>
      <c r="AC7" s="92" t="s">
        <v>66</v>
      </c>
      <c r="AD7" s="92" t="s">
        <v>66</v>
      </c>
      <c r="AE7" s="92" t="s">
        <v>66</v>
      </c>
      <c r="AF7" s="92" t="s">
        <v>66</v>
      </c>
      <c r="AG7" s="92" t="s">
        <v>66</v>
      </c>
      <c r="AH7" s="92" t="s">
        <v>66</v>
      </c>
      <c r="AI7" s="92" t="s">
        <v>66</v>
      </c>
      <c r="AJ7" s="92" t="s">
        <v>66</v>
      </c>
      <c r="AK7" s="92" t="s">
        <v>66</v>
      </c>
      <c r="AL7" s="92" t="s">
        <v>66</v>
      </c>
      <c r="AM7" s="92" t="s">
        <v>66</v>
      </c>
    </row>
    <row r="8" spans="1:40" x14ac:dyDescent="0.2">
      <c r="A8" t="s">
        <v>20</v>
      </c>
      <c r="B8" s="92" t="s">
        <v>64</v>
      </c>
      <c r="C8" s="92" t="s">
        <v>0</v>
      </c>
      <c r="D8" s="92" t="s">
        <v>279</v>
      </c>
      <c r="E8" s="93">
        <v>1</v>
      </c>
      <c r="F8" s="93">
        <v>0</v>
      </c>
      <c r="G8" s="93">
        <v>1117208.4099999999</v>
      </c>
      <c r="H8" s="92" t="s">
        <v>65</v>
      </c>
      <c r="I8" s="92" t="s">
        <v>66</v>
      </c>
      <c r="J8" s="92" t="s">
        <v>66</v>
      </c>
      <c r="K8" s="92" t="s">
        <v>66</v>
      </c>
      <c r="L8" s="92" t="s">
        <v>266</v>
      </c>
      <c r="M8" s="92" t="s">
        <v>67</v>
      </c>
      <c r="N8" s="92" t="s">
        <v>68</v>
      </c>
      <c r="O8" s="92" t="s">
        <v>280</v>
      </c>
      <c r="P8" s="92" t="s">
        <v>66</v>
      </c>
      <c r="Q8" s="92" t="s">
        <v>69</v>
      </c>
      <c r="R8" s="92" t="s">
        <v>281</v>
      </c>
      <c r="S8" s="92" t="s">
        <v>66</v>
      </c>
      <c r="T8" s="92" t="s">
        <v>66</v>
      </c>
      <c r="U8" s="92" t="s">
        <v>66</v>
      </c>
      <c r="V8" s="92" t="s">
        <v>66</v>
      </c>
      <c r="W8" s="92" t="s">
        <v>66</v>
      </c>
      <c r="X8" s="92" t="s">
        <v>66</v>
      </c>
      <c r="Y8" s="92" t="s">
        <v>66</v>
      </c>
      <c r="Z8" s="92" t="s">
        <v>66</v>
      </c>
      <c r="AA8" s="92" t="s">
        <v>66</v>
      </c>
      <c r="AB8" s="92" t="s">
        <v>66</v>
      </c>
      <c r="AC8" s="92" t="s">
        <v>66</v>
      </c>
      <c r="AD8" s="92" t="s">
        <v>66</v>
      </c>
      <c r="AE8" s="92" t="s">
        <v>66</v>
      </c>
      <c r="AF8" s="92" t="s">
        <v>66</v>
      </c>
      <c r="AG8" s="92" t="s">
        <v>66</v>
      </c>
      <c r="AH8" s="92" t="s">
        <v>66</v>
      </c>
      <c r="AI8" s="92" t="s">
        <v>66</v>
      </c>
      <c r="AJ8" s="92" t="s">
        <v>66</v>
      </c>
      <c r="AK8" s="92" t="s">
        <v>66</v>
      </c>
      <c r="AL8" s="92" t="s">
        <v>66</v>
      </c>
      <c r="AM8" s="92" t="s">
        <v>66</v>
      </c>
    </row>
    <row r="9" spans="1:40" x14ac:dyDescent="0.2">
      <c r="A9" t="s">
        <v>59</v>
      </c>
      <c r="B9" s="92" t="s">
        <v>64</v>
      </c>
      <c r="C9" s="92" t="s">
        <v>0</v>
      </c>
      <c r="D9" s="92" t="s">
        <v>279</v>
      </c>
      <c r="E9" s="93">
        <v>500000</v>
      </c>
      <c r="F9" s="93">
        <v>0</v>
      </c>
      <c r="G9" s="93">
        <v>617208.41</v>
      </c>
      <c r="H9" s="92" t="s">
        <v>65</v>
      </c>
      <c r="I9" s="92" t="s">
        <v>0</v>
      </c>
      <c r="J9" s="92" t="s">
        <v>166</v>
      </c>
      <c r="K9" s="92" t="s">
        <v>77</v>
      </c>
      <c r="L9" s="92" t="s">
        <v>266</v>
      </c>
      <c r="M9" s="92" t="s">
        <v>70</v>
      </c>
      <c r="N9" s="92" t="s">
        <v>1</v>
      </c>
      <c r="O9" s="92" t="s">
        <v>282</v>
      </c>
      <c r="P9" s="92" t="s">
        <v>66</v>
      </c>
      <c r="Q9" s="92" t="s">
        <v>69</v>
      </c>
      <c r="R9" s="92" t="s">
        <v>281</v>
      </c>
      <c r="S9" s="92" t="s">
        <v>66</v>
      </c>
      <c r="T9" s="92" t="s">
        <v>66</v>
      </c>
      <c r="U9" s="92" t="s">
        <v>66</v>
      </c>
      <c r="V9" s="92" t="s">
        <v>66</v>
      </c>
      <c r="W9" s="92" t="s">
        <v>66</v>
      </c>
      <c r="X9" s="92" t="s">
        <v>66</v>
      </c>
      <c r="Y9" s="92" t="s">
        <v>66</v>
      </c>
      <c r="Z9" s="92" t="s">
        <v>66</v>
      </c>
      <c r="AA9" s="92" t="s">
        <v>66</v>
      </c>
      <c r="AB9" s="92" t="s">
        <v>66</v>
      </c>
      <c r="AC9" s="92" t="s">
        <v>66</v>
      </c>
      <c r="AD9" s="92" t="s">
        <v>66</v>
      </c>
      <c r="AE9" s="92" t="s">
        <v>66</v>
      </c>
      <c r="AF9" s="92" t="s">
        <v>66</v>
      </c>
      <c r="AG9" s="92" t="s">
        <v>66</v>
      </c>
      <c r="AH9" s="92" t="s">
        <v>66</v>
      </c>
      <c r="AI9" s="92" t="s">
        <v>66</v>
      </c>
      <c r="AJ9" s="92" t="s">
        <v>66</v>
      </c>
      <c r="AK9" s="92" t="s">
        <v>66</v>
      </c>
      <c r="AL9" s="92" t="s">
        <v>66</v>
      </c>
      <c r="AM9" s="92" t="s">
        <v>66</v>
      </c>
    </row>
    <row r="10" spans="1:40" x14ac:dyDescent="0.2">
      <c r="A10" t="s">
        <v>20</v>
      </c>
      <c r="B10" s="92" t="s">
        <v>64</v>
      </c>
      <c r="C10" s="92" t="s">
        <v>0</v>
      </c>
      <c r="D10" s="92" t="s">
        <v>283</v>
      </c>
      <c r="E10" s="93">
        <v>1</v>
      </c>
      <c r="F10" s="93">
        <v>0</v>
      </c>
      <c r="G10" s="93">
        <v>617207.41</v>
      </c>
      <c r="H10" s="92" t="s">
        <v>65</v>
      </c>
      <c r="I10" s="92" t="s">
        <v>66</v>
      </c>
      <c r="J10" s="92" t="s">
        <v>66</v>
      </c>
      <c r="K10" s="92" t="s">
        <v>66</v>
      </c>
      <c r="L10" s="92" t="s">
        <v>266</v>
      </c>
      <c r="M10" s="92" t="s">
        <v>67</v>
      </c>
      <c r="N10" s="92" t="s">
        <v>68</v>
      </c>
      <c r="O10" s="92" t="s">
        <v>284</v>
      </c>
      <c r="P10" s="92" t="s">
        <v>66</v>
      </c>
      <c r="Q10" s="92" t="s">
        <v>69</v>
      </c>
      <c r="R10" s="92" t="s">
        <v>285</v>
      </c>
      <c r="S10" s="92" t="s">
        <v>66</v>
      </c>
      <c r="T10" s="92" t="s">
        <v>66</v>
      </c>
      <c r="U10" s="92" t="s">
        <v>66</v>
      </c>
      <c r="V10" s="92" t="s">
        <v>66</v>
      </c>
      <c r="W10" s="92" t="s">
        <v>66</v>
      </c>
      <c r="X10" s="92" t="s">
        <v>66</v>
      </c>
      <c r="Y10" s="92" t="s">
        <v>66</v>
      </c>
      <c r="Z10" s="92" t="s">
        <v>66</v>
      </c>
      <c r="AA10" s="92" t="s">
        <v>66</v>
      </c>
      <c r="AB10" s="92" t="s">
        <v>66</v>
      </c>
      <c r="AC10" s="92" t="s">
        <v>66</v>
      </c>
      <c r="AD10" s="92" t="s">
        <v>66</v>
      </c>
      <c r="AE10" s="92" t="s">
        <v>66</v>
      </c>
      <c r="AF10" s="92" t="s">
        <v>66</v>
      </c>
      <c r="AG10" s="92" t="s">
        <v>66</v>
      </c>
      <c r="AH10" s="92" t="s">
        <v>66</v>
      </c>
      <c r="AI10" s="92" t="s">
        <v>66</v>
      </c>
      <c r="AJ10" s="92" t="s">
        <v>66</v>
      </c>
      <c r="AK10" s="92" t="s">
        <v>66</v>
      </c>
      <c r="AL10" s="92" t="s">
        <v>66</v>
      </c>
      <c r="AM10" s="92" t="s">
        <v>66</v>
      </c>
    </row>
    <row r="11" spans="1:40" x14ac:dyDescent="0.2">
      <c r="A11" t="s">
        <v>59</v>
      </c>
      <c r="B11" s="92" t="s">
        <v>64</v>
      </c>
      <c r="C11" s="92" t="s">
        <v>0</v>
      </c>
      <c r="D11" s="92" t="s">
        <v>283</v>
      </c>
      <c r="E11" s="93">
        <v>500000</v>
      </c>
      <c r="F11" s="93">
        <v>0</v>
      </c>
      <c r="G11" s="93">
        <v>117207.41</v>
      </c>
      <c r="H11" s="92" t="s">
        <v>65</v>
      </c>
      <c r="I11" s="92" t="s">
        <v>0</v>
      </c>
      <c r="J11" s="92" t="s">
        <v>166</v>
      </c>
      <c r="K11" s="92" t="s">
        <v>77</v>
      </c>
      <c r="L11" s="92" t="s">
        <v>266</v>
      </c>
      <c r="M11" s="92" t="s">
        <v>70</v>
      </c>
      <c r="N11" s="92" t="s">
        <v>1</v>
      </c>
      <c r="O11" s="92" t="s">
        <v>286</v>
      </c>
      <c r="P11" s="92" t="s">
        <v>66</v>
      </c>
      <c r="Q11" s="92" t="s">
        <v>69</v>
      </c>
      <c r="R11" s="92" t="s">
        <v>285</v>
      </c>
      <c r="S11" s="92" t="s">
        <v>66</v>
      </c>
      <c r="T11" s="92" t="s">
        <v>66</v>
      </c>
      <c r="U11" s="92" t="s">
        <v>66</v>
      </c>
      <c r="V11" s="92" t="s">
        <v>66</v>
      </c>
      <c r="W11" s="92" t="s">
        <v>66</v>
      </c>
      <c r="X11" s="92" t="s">
        <v>66</v>
      </c>
      <c r="Y11" s="92" t="s">
        <v>66</v>
      </c>
      <c r="Z11" s="92" t="s">
        <v>66</v>
      </c>
      <c r="AA11" s="92" t="s">
        <v>66</v>
      </c>
      <c r="AB11" s="92" t="s">
        <v>66</v>
      </c>
      <c r="AC11" s="92" t="s">
        <v>66</v>
      </c>
      <c r="AD11" s="92" t="s">
        <v>66</v>
      </c>
      <c r="AE11" s="92" t="s">
        <v>66</v>
      </c>
      <c r="AF11" s="92" t="s">
        <v>66</v>
      </c>
      <c r="AG11" s="92" t="s">
        <v>66</v>
      </c>
      <c r="AH11" s="92" t="s">
        <v>66</v>
      </c>
      <c r="AI11" s="92" t="s">
        <v>66</v>
      </c>
      <c r="AJ11" s="92" t="s">
        <v>66</v>
      </c>
      <c r="AK11" s="92" t="s">
        <v>66</v>
      </c>
      <c r="AL11" s="92" t="s">
        <v>66</v>
      </c>
      <c r="AM11" s="92" t="s">
        <v>66</v>
      </c>
    </row>
    <row r="12" spans="1:40" x14ac:dyDescent="0.2">
      <c r="A12" t="s">
        <v>20</v>
      </c>
      <c r="B12" s="92" t="s">
        <v>64</v>
      </c>
      <c r="C12" s="92" t="s">
        <v>0</v>
      </c>
      <c r="D12" s="92" t="s">
        <v>287</v>
      </c>
      <c r="E12" s="93">
        <v>1</v>
      </c>
      <c r="F12" s="93">
        <v>0</v>
      </c>
      <c r="G12" s="93">
        <v>117206.41</v>
      </c>
      <c r="H12" s="92" t="s">
        <v>65</v>
      </c>
      <c r="I12" s="92" t="s">
        <v>66</v>
      </c>
      <c r="J12" s="92" t="s">
        <v>66</v>
      </c>
      <c r="K12" s="92" t="s">
        <v>66</v>
      </c>
      <c r="L12" s="92" t="s">
        <v>266</v>
      </c>
      <c r="M12" s="92" t="s">
        <v>67</v>
      </c>
      <c r="N12" s="92" t="s">
        <v>68</v>
      </c>
      <c r="O12" s="92" t="s">
        <v>288</v>
      </c>
      <c r="P12" s="92" t="s">
        <v>66</v>
      </c>
      <c r="Q12" s="92" t="s">
        <v>69</v>
      </c>
      <c r="R12" s="92" t="s">
        <v>289</v>
      </c>
      <c r="S12" s="92" t="s">
        <v>66</v>
      </c>
      <c r="T12" s="92" t="s">
        <v>66</v>
      </c>
      <c r="U12" s="92" t="s">
        <v>66</v>
      </c>
      <c r="V12" s="92" t="s">
        <v>66</v>
      </c>
      <c r="W12" s="92" t="s">
        <v>66</v>
      </c>
      <c r="X12" s="92" t="s">
        <v>66</v>
      </c>
      <c r="Y12" s="92" t="s">
        <v>66</v>
      </c>
      <c r="Z12" s="92" t="s">
        <v>66</v>
      </c>
      <c r="AA12" s="92" t="s">
        <v>66</v>
      </c>
      <c r="AB12" s="92" t="s">
        <v>66</v>
      </c>
      <c r="AC12" s="92" t="s">
        <v>66</v>
      </c>
      <c r="AD12" s="92" t="s">
        <v>66</v>
      </c>
      <c r="AE12" s="92" t="s">
        <v>66</v>
      </c>
      <c r="AF12" s="92" t="s">
        <v>66</v>
      </c>
      <c r="AG12" s="92" t="s">
        <v>66</v>
      </c>
      <c r="AH12" s="92" t="s">
        <v>66</v>
      </c>
      <c r="AI12" s="92" t="s">
        <v>66</v>
      </c>
      <c r="AJ12" s="92" t="s">
        <v>66</v>
      </c>
      <c r="AK12" s="92" t="s">
        <v>66</v>
      </c>
      <c r="AL12" s="92" t="s">
        <v>66</v>
      </c>
      <c r="AM12" s="92" t="s">
        <v>66</v>
      </c>
    </row>
    <row r="13" spans="1:40" x14ac:dyDescent="0.2">
      <c r="A13" t="s">
        <v>20</v>
      </c>
      <c r="B13" s="92" t="s">
        <v>64</v>
      </c>
      <c r="C13" s="92" t="s">
        <v>0</v>
      </c>
      <c r="D13" s="92" t="s">
        <v>287</v>
      </c>
      <c r="E13" s="93">
        <v>3122</v>
      </c>
      <c r="F13" s="93">
        <v>0</v>
      </c>
      <c r="G13" s="93">
        <v>114084.41</v>
      </c>
      <c r="H13" s="92" t="s">
        <v>65</v>
      </c>
      <c r="I13" s="92" t="s">
        <v>290</v>
      </c>
      <c r="J13" s="92" t="s">
        <v>291</v>
      </c>
      <c r="K13" s="92" t="s">
        <v>292</v>
      </c>
      <c r="L13" s="92" t="s">
        <v>266</v>
      </c>
      <c r="M13" s="92" t="s">
        <v>70</v>
      </c>
      <c r="N13" s="92" t="s">
        <v>293</v>
      </c>
      <c r="O13" s="92" t="s">
        <v>294</v>
      </c>
      <c r="P13" s="92" t="s">
        <v>66</v>
      </c>
      <c r="Q13" s="92" t="s">
        <v>69</v>
      </c>
      <c r="R13" s="92" t="s">
        <v>289</v>
      </c>
      <c r="S13" s="92" t="s">
        <v>66</v>
      </c>
      <c r="T13" s="92" t="s">
        <v>66</v>
      </c>
      <c r="U13" s="92" t="s">
        <v>66</v>
      </c>
      <c r="V13" s="92" t="s">
        <v>66</v>
      </c>
      <c r="W13" s="92" t="s">
        <v>66</v>
      </c>
      <c r="X13" s="92" t="s">
        <v>66</v>
      </c>
      <c r="Y13" s="92" t="s">
        <v>66</v>
      </c>
      <c r="Z13" s="92" t="s">
        <v>66</v>
      </c>
      <c r="AA13" s="92" t="s">
        <v>66</v>
      </c>
      <c r="AB13" s="92" t="s">
        <v>66</v>
      </c>
      <c r="AC13" s="92" t="s">
        <v>66</v>
      </c>
      <c r="AD13" s="92" t="s">
        <v>66</v>
      </c>
      <c r="AE13" s="92" t="s">
        <v>66</v>
      </c>
      <c r="AF13" s="92" t="s">
        <v>66</v>
      </c>
      <c r="AG13" s="92" t="s">
        <v>66</v>
      </c>
      <c r="AH13" s="92" t="s">
        <v>66</v>
      </c>
      <c r="AI13" s="92" t="s">
        <v>66</v>
      </c>
      <c r="AJ13" s="92" t="s">
        <v>66</v>
      </c>
      <c r="AK13" s="92" t="s">
        <v>66</v>
      </c>
      <c r="AL13" s="92" t="s">
        <v>66</v>
      </c>
      <c r="AM13" s="92" t="s">
        <v>66</v>
      </c>
    </row>
    <row r="14" spans="1:40" x14ac:dyDescent="0.2">
      <c r="A14" t="s">
        <v>167</v>
      </c>
      <c r="B14" s="92" t="s">
        <v>64</v>
      </c>
      <c r="C14" s="92" t="s">
        <v>0</v>
      </c>
      <c r="D14" s="92" t="s">
        <v>295</v>
      </c>
      <c r="E14" s="93">
        <v>0</v>
      </c>
      <c r="F14" s="93">
        <v>200000</v>
      </c>
      <c r="G14" s="93">
        <v>314084.40999999997</v>
      </c>
      <c r="H14" s="92" t="s">
        <v>65</v>
      </c>
      <c r="I14" s="92" t="s">
        <v>296</v>
      </c>
      <c r="J14" s="92" t="s">
        <v>297</v>
      </c>
      <c r="K14" s="92" t="s">
        <v>77</v>
      </c>
      <c r="L14" s="92" t="s">
        <v>298</v>
      </c>
      <c r="M14" s="92" t="s">
        <v>72</v>
      </c>
      <c r="N14" s="92" t="s">
        <v>299</v>
      </c>
      <c r="O14" s="92" t="s">
        <v>300</v>
      </c>
      <c r="P14" s="92" t="s">
        <v>66</v>
      </c>
      <c r="Q14" s="92" t="s">
        <v>73</v>
      </c>
      <c r="R14" s="92" t="s">
        <v>66</v>
      </c>
      <c r="S14" s="92" t="s">
        <v>66</v>
      </c>
      <c r="T14" s="92" t="s">
        <v>66</v>
      </c>
      <c r="U14" s="92" t="s">
        <v>66</v>
      </c>
      <c r="V14" s="92" t="s">
        <v>66</v>
      </c>
      <c r="W14" s="92" t="s">
        <v>66</v>
      </c>
      <c r="X14" s="92" t="s">
        <v>66</v>
      </c>
      <c r="Y14" s="92" t="s">
        <v>66</v>
      </c>
      <c r="Z14" s="92" t="s">
        <v>66</v>
      </c>
      <c r="AA14" s="92" t="s">
        <v>66</v>
      </c>
      <c r="AB14" s="92" t="s">
        <v>66</v>
      </c>
      <c r="AC14" s="92" t="s">
        <v>66</v>
      </c>
      <c r="AD14" s="92" t="s">
        <v>66</v>
      </c>
      <c r="AE14" s="92" t="s">
        <v>66</v>
      </c>
      <c r="AF14" s="92" t="s">
        <v>66</v>
      </c>
      <c r="AG14" s="92" t="s">
        <v>66</v>
      </c>
      <c r="AH14" s="92" t="s">
        <v>66</v>
      </c>
      <c r="AI14" s="92" t="s">
        <v>66</v>
      </c>
      <c r="AJ14" s="92" t="s">
        <v>66</v>
      </c>
      <c r="AK14" s="92" t="s">
        <v>66</v>
      </c>
      <c r="AL14" s="92" t="s">
        <v>66</v>
      </c>
      <c r="AM14" s="92" t="s">
        <v>66</v>
      </c>
    </row>
    <row r="15" spans="1:40" x14ac:dyDescent="0.2">
      <c r="A15" t="s">
        <v>167</v>
      </c>
      <c r="B15" s="92" t="s">
        <v>64</v>
      </c>
      <c r="C15" s="92" t="s">
        <v>0</v>
      </c>
      <c r="D15" s="92" t="s">
        <v>301</v>
      </c>
      <c r="E15" s="93">
        <v>0</v>
      </c>
      <c r="F15" s="93">
        <v>200000</v>
      </c>
      <c r="G15" s="93">
        <v>514084.41</v>
      </c>
      <c r="H15" s="92" t="s">
        <v>65</v>
      </c>
      <c r="I15" s="92" t="s">
        <v>302</v>
      </c>
      <c r="J15" s="92" t="s">
        <v>303</v>
      </c>
      <c r="K15" s="92" t="s">
        <v>304</v>
      </c>
      <c r="L15" s="92" t="s">
        <v>298</v>
      </c>
      <c r="M15" s="92" t="s">
        <v>305</v>
      </c>
      <c r="N15" s="92" t="s">
        <v>267</v>
      </c>
      <c r="O15" s="92" t="s">
        <v>306</v>
      </c>
      <c r="P15" s="92" t="s">
        <v>66</v>
      </c>
      <c r="Q15" s="92" t="s">
        <v>84</v>
      </c>
      <c r="R15" s="92" t="s">
        <v>66</v>
      </c>
      <c r="S15" s="92" t="s">
        <v>66</v>
      </c>
      <c r="T15" s="92" t="s">
        <v>66</v>
      </c>
      <c r="U15" s="92" t="s">
        <v>66</v>
      </c>
      <c r="V15" s="92" t="s">
        <v>66</v>
      </c>
      <c r="W15" s="92" t="s">
        <v>66</v>
      </c>
      <c r="X15" s="92" t="s">
        <v>66</v>
      </c>
      <c r="Y15" s="92" t="s">
        <v>66</v>
      </c>
      <c r="Z15" s="92" t="s">
        <v>66</v>
      </c>
      <c r="AA15" s="92" t="s">
        <v>66</v>
      </c>
      <c r="AB15" s="92" t="s">
        <v>66</v>
      </c>
      <c r="AC15" s="92" t="s">
        <v>66</v>
      </c>
      <c r="AD15" s="92" t="s">
        <v>66</v>
      </c>
      <c r="AE15" s="92" t="s">
        <v>66</v>
      </c>
      <c r="AF15" s="92" t="s">
        <v>66</v>
      </c>
      <c r="AG15" s="92" t="s">
        <v>66</v>
      </c>
      <c r="AH15" s="92" t="s">
        <v>66</v>
      </c>
      <c r="AI15" s="92" t="s">
        <v>66</v>
      </c>
      <c r="AJ15" s="92" t="s">
        <v>66</v>
      </c>
      <c r="AK15" s="92" t="s">
        <v>66</v>
      </c>
      <c r="AL15" s="92" t="s">
        <v>66</v>
      </c>
      <c r="AM15" s="92" t="s">
        <v>64</v>
      </c>
    </row>
    <row r="16" spans="1:40" x14ac:dyDescent="0.2">
      <c r="A16" t="s">
        <v>167</v>
      </c>
      <c r="B16" s="92" t="s">
        <v>64</v>
      </c>
      <c r="C16" s="92" t="s">
        <v>0</v>
      </c>
      <c r="D16" s="92" t="s">
        <v>307</v>
      </c>
      <c r="E16" s="93">
        <v>0</v>
      </c>
      <c r="F16" s="93">
        <v>200000</v>
      </c>
      <c r="G16" s="93">
        <v>714084.41</v>
      </c>
      <c r="H16" s="92" t="s">
        <v>65</v>
      </c>
      <c r="I16" s="92" t="s">
        <v>308</v>
      </c>
      <c r="J16" s="92" t="s">
        <v>309</v>
      </c>
      <c r="K16" s="92" t="s">
        <v>97</v>
      </c>
      <c r="L16" s="92" t="s">
        <v>298</v>
      </c>
      <c r="M16" s="92" t="s">
        <v>72</v>
      </c>
      <c r="N16" s="92" t="s">
        <v>267</v>
      </c>
      <c r="O16" s="92" t="s">
        <v>310</v>
      </c>
      <c r="P16" s="92" t="s">
        <v>66</v>
      </c>
      <c r="Q16" s="92" t="s">
        <v>73</v>
      </c>
      <c r="R16" s="92" t="s">
        <v>66</v>
      </c>
      <c r="S16" s="92" t="s">
        <v>66</v>
      </c>
      <c r="T16" s="92" t="s">
        <v>66</v>
      </c>
      <c r="U16" s="92" t="s">
        <v>66</v>
      </c>
      <c r="V16" s="92" t="s">
        <v>66</v>
      </c>
      <c r="W16" s="92" t="s">
        <v>66</v>
      </c>
      <c r="X16" s="92" t="s">
        <v>66</v>
      </c>
      <c r="Y16" s="92" t="s">
        <v>66</v>
      </c>
      <c r="Z16" s="92" t="s">
        <v>66</v>
      </c>
      <c r="AA16" s="92" t="s">
        <v>66</v>
      </c>
      <c r="AB16" s="92" t="s">
        <v>66</v>
      </c>
      <c r="AC16" s="92" t="s">
        <v>66</v>
      </c>
      <c r="AD16" s="92" t="s">
        <v>66</v>
      </c>
      <c r="AE16" s="92" t="s">
        <v>66</v>
      </c>
      <c r="AF16" s="92" t="s">
        <v>66</v>
      </c>
      <c r="AG16" s="92" t="s">
        <v>66</v>
      </c>
      <c r="AH16" s="92" t="s">
        <v>66</v>
      </c>
      <c r="AI16" s="92" t="s">
        <v>66</v>
      </c>
      <c r="AJ16" s="92" t="s">
        <v>66</v>
      </c>
      <c r="AK16" s="92" t="s">
        <v>66</v>
      </c>
      <c r="AL16" s="92" t="s">
        <v>66</v>
      </c>
      <c r="AM16" s="92" t="s">
        <v>66</v>
      </c>
    </row>
    <row r="17" spans="1:39" x14ac:dyDescent="0.2">
      <c r="A17" t="s">
        <v>167</v>
      </c>
      <c r="B17" s="92" t="s">
        <v>64</v>
      </c>
      <c r="C17" s="92" t="s">
        <v>0</v>
      </c>
      <c r="D17" s="92" t="s">
        <v>311</v>
      </c>
      <c r="E17" s="93">
        <v>0</v>
      </c>
      <c r="F17" s="93">
        <v>400000</v>
      </c>
      <c r="G17" s="93">
        <v>1114084.4099999999</v>
      </c>
      <c r="H17" s="92" t="s">
        <v>65</v>
      </c>
      <c r="I17" s="92" t="s">
        <v>0</v>
      </c>
      <c r="J17" s="92" t="s">
        <v>160</v>
      </c>
      <c r="K17" s="92" t="s">
        <v>81</v>
      </c>
      <c r="L17" s="92" t="s">
        <v>298</v>
      </c>
      <c r="M17" s="92" t="s">
        <v>312</v>
      </c>
      <c r="N17" s="92" t="s">
        <v>313</v>
      </c>
      <c r="O17" s="92" t="s">
        <v>314</v>
      </c>
      <c r="P17" s="92" t="s">
        <v>66</v>
      </c>
      <c r="Q17" s="92" t="s">
        <v>84</v>
      </c>
      <c r="R17" s="92" t="s">
        <v>66</v>
      </c>
      <c r="S17" s="92" t="s">
        <v>66</v>
      </c>
      <c r="T17" s="92" t="s">
        <v>66</v>
      </c>
      <c r="U17" s="92" t="s">
        <v>66</v>
      </c>
      <c r="V17" s="92" t="s">
        <v>66</v>
      </c>
      <c r="W17" s="92" t="s">
        <v>66</v>
      </c>
      <c r="X17" s="92" t="s">
        <v>66</v>
      </c>
      <c r="Y17" s="92" t="s">
        <v>66</v>
      </c>
      <c r="Z17" s="92" t="s">
        <v>66</v>
      </c>
      <c r="AA17" s="92" t="s">
        <v>66</v>
      </c>
      <c r="AB17" s="92" t="s">
        <v>66</v>
      </c>
      <c r="AC17" s="92" t="s">
        <v>66</v>
      </c>
      <c r="AD17" s="92" t="s">
        <v>66</v>
      </c>
      <c r="AE17" s="92" t="s">
        <v>66</v>
      </c>
      <c r="AF17" s="92" t="s">
        <v>66</v>
      </c>
      <c r="AG17" s="92" t="s">
        <v>66</v>
      </c>
      <c r="AH17" s="92" t="s">
        <v>66</v>
      </c>
      <c r="AI17" s="92" t="s">
        <v>66</v>
      </c>
      <c r="AJ17" s="92" t="s">
        <v>66</v>
      </c>
      <c r="AK17" s="92" t="s">
        <v>66</v>
      </c>
      <c r="AL17" s="92" t="s">
        <v>66</v>
      </c>
      <c r="AM17" s="92" t="s">
        <v>66</v>
      </c>
    </row>
    <row r="18" spans="1:39" x14ac:dyDescent="0.2">
      <c r="A18" t="s">
        <v>20</v>
      </c>
      <c r="B18" s="92" t="s">
        <v>64</v>
      </c>
      <c r="C18" s="92" t="s">
        <v>0</v>
      </c>
      <c r="D18" s="92" t="s">
        <v>315</v>
      </c>
      <c r="E18" s="93">
        <v>1</v>
      </c>
      <c r="F18" s="93">
        <v>0</v>
      </c>
      <c r="G18" s="93">
        <v>1114083.4099999999</v>
      </c>
      <c r="H18" s="92" t="s">
        <v>65</v>
      </c>
      <c r="I18" s="92" t="s">
        <v>66</v>
      </c>
      <c r="J18" s="92" t="s">
        <v>66</v>
      </c>
      <c r="K18" s="92" t="s">
        <v>66</v>
      </c>
      <c r="L18" s="92" t="s">
        <v>298</v>
      </c>
      <c r="M18" s="92" t="s">
        <v>67</v>
      </c>
      <c r="N18" s="92" t="s">
        <v>68</v>
      </c>
      <c r="O18" s="92" t="s">
        <v>316</v>
      </c>
      <c r="P18" s="92" t="s">
        <v>66</v>
      </c>
      <c r="Q18" s="92" t="s">
        <v>69</v>
      </c>
      <c r="R18" s="92" t="s">
        <v>317</v>
      </c>
      <c r="S18" s="92" t="s">
        <v>66</v>
      </c>
      <c r="T18" s="92" t="s">
        <v>66</v>
      </c>
      <c r="U18" s="92" t="s">
        <v>66</v>
      </c>
      <c r="V18" s="92" t="s">
        <v>66</v>
      </c>
      <c r="W18" s="92" t="s">
        <v>66</v>
      </c>
      <c r="X18" s="92" t="s">
        <v>66</v>
      </c>
      <c r="Y18" s="92" t="s">
        <v>66</v>
      </c>
      <c r="Z18" s="92" t="s">
        <v>66</v>
      </c>
      <c r="AA18" s="92" t="s">
        <v>66</v>
      </c>
      <c r="AB18" s="92" t="s">
        <v>66</v>
      </c>
      <c r="AC18" s="92" t="s">
        <v>66</v>
      </c>
      <c r="AD18" s="92" t="s">
        <v>66</v>
      </c>
      <c r="AE18" s="92" t="s">
        <v>66</v>
      </c>
      <c r="AF18" s="92" t="s">
        <v>66</v>
      </c>
      <c r="AG18" s="92" t="s">
        <v>66</v>
      </c>
      <c r="AH18" s="92" t="s">
        <v>66</v>
      </c>
      <c r="AI18" s="92" t="s">
        <v>66</v>
      </c>
      <c r="AJ18" s="92" t="s">
        <v>66</v>
      </c>
      <c r="AK18" s="92" t="s">
        <v>66</v>
      </c>
      <c r="AL18" s="92" t="s">
        <v>66</v>
      </c>
      <c r="AM18" s="92" t="s">
        <v>66</v>
      </c>
    </row>
    <row r="19" spans="1:39" x14ac:dyDescent="0.2">
      <c r="A19" t="s">
        <v>59</v>
      </c>
      <c r="B19" s="92" t="s">
        <v>64</v>
      </c>
      <c r="C19" s="92" t="s">
        <v>0</v>
      </c>
      <c r="D19" s="92" t="s">
        <v>315</v>
      </c>
      <c r="E19" s="93">
        <v>500000</v>
      </c>
      <c r="F19" s="93">
        <v>0</v>
      </c>
      <c r="G19" s="93">
        <v>614083.41</v>
      </c>
      <c r="H19" s="92" t="s">
        <v>65</v>
      </c>
      <c r="I19" s="92" t="s">
        <v>0</v>
      </c>
      <c r="J19" s="92" t="s">
        <v>166</v>
      </c>
      <c r="K19" s="92" t="s">
        <v>77</v>
      </c>
      <c r="L19" s="92" t="s">
        <v>298</v>
      </c>
      <c r="M19" s="92" t="s">
        <v>70</v>
      </c>
      <c r="N19" s="92" t="s">
        <v>1</v>
      </c>
      <c r="O19" s="92" t="s">
        <v>318</v>
      </c>
      <c r="P19" s="92" t="s">
        <v>66</v>
      </c>
      <c r="Q19" s="92" t="s">
        <v>69</v>
      </c>
      <c r="R19" s="92" t="s">
        <v>317</v>
      </c>
      <c r="S19" s="92" t="s">
        <v>66</v>
      </c>
      <c r="T19" s="92" t="s">
        <v>66</v>
      </c>
      <c r="U19" s="92" t="s">
        <v>66</v>
      </c>
      <c r="V19" s="92" t="s">
        <v>66</v>
      </c>
      <c r="W19" s="92" t="s">
        <v>66</v>
      </c>
      <c r="X19" s="92" t="s">
        <v>66</v>
      </c>
      <c r="Y19" s="92" t="s">
        <v>66</v>
      </c>
      <c r="Z19" s="92" t="s">
        <v>66</v>
      </c>
      <c r="AA19" s="92" t="s">
        <v>66</v>
      </c>
      <c r="AB19" s="92" t="s">
        <v>66</v>
      </c>
      <c r="AC19" s="92" t="s">
        <v>66</v>
      </c>
      <c r="AD19" s="92" t="s">
        <v>66</v>
      </c>
      <c r="AE19" s="92" t="s">
        <v>66</v>
      </c>
      <c r="AF19" s="92" t="s">
        <v>66</v>
      </c>
      <c r="AG19" s="92" t="s">
        <v>66</v>
      </c>
      <c r="AH19" s="92" t="s">
        <v>66</v>
      </c>
      <c r="AI19" s="92" t="s">
        <v>66</v>
      </c>
      <c r="AJ19" s="92" t="s">
        <v>66</v>
      </c>
      <c r="AK19" s="92" t="s">
        <v>66</v>
      </c>
      <c r="AL19" s="92" t="s">
        <v>66</v>
      </c>
      <c r="AM19" s="92" t="s">
        <v>66</v>
      </c>
    </row>
    <row r="20" spans="1:39" x14ac:dyDescent="0.2">
      <c r="A20" t="s">
        <v>20</v>
      </c>
      <c r="B20" s="92" t="s">
        <v>64</v>
      </c>
      <c r="C20" s="92" t="s">
        <v>0</v>
      </c>
      <c r="D20" s="92" t="s">
        <v>319</v>
      </c>
      <c r="E20" s="93">
        <v>1090</v>
      </c>
      <c r="F20" s="93">
        <v>0</v>
      </c>
      <c r="G20" s="93">
        <v>612993.41</v>
      </c>
      <c r="H20" s="92" t="s">
        <v>65</v>
      </c>
      <c r="I20" s="92" t="s">
        <v>320</v>
      </c>
      <c r="J20" s="92" t="s">
        <v>321</v>
      </c>
      <c r="K20" s="92" t="s">
        <v>322</v>
      </c>
      <c r="L20" s="92" t="s">
        <v>298</v>
      </c>
      <c r="M20" s="92" t="s">
        <v>70</v>
      </c>
      <c r="N20" s="92" t="s">
        <v>323</v>
      </c>
      <c r="O20" s="92" t="s">
        <v>324</v>
      </c>
      <c r="P20" s="92" t="s">
        <v>66</v>
      </c>
      <c r="Q20" s="92" t="s">
        <v>69</v>
      </c>
      <c r="R20" s="92" t="s">
        <v>325</v>
      </c>
      <c r="S20" s="92" t="s">
        <v>66</v>
      </c>
      <c r="T20" s="92" t="s">
        <v>66</v>
      </c>
      <c r="U20" s="92" t="s">
        <v>66</v>
      </c>
      <c r="V20" s="92" t="s">
        <v>66</v>
      </c>
      <c r="W20" s="92" t="s">
        <v>66</v>
      </c>
      <c r="X20" s="92" t="s">
        <v>66</v>
      </c>
      <c r="Y20" s="92" t="s">
        <v>66</v>
      </c>
      <c r="Z20" s="92" t="s">
        <v>66</v>
      </c>
      <c r="AA20" s="92" t="s">
        <v>66</v>
      </c>
      <c r="AB20" s="92" t="s">
        <v>66</v>
      </c>
      <c r="AC20" s="92" t="s">
        <v>66</v>
      </c>
      <c r="AD20" s="92" t="s">
        <v>66</v>
      </c>
      <c r="AE20" s="92" t="s">
        <v>66</v>
      </c>
      <c r="AF20" s="92" t="s">
        <v>66</v>
      </c>
      <c r="AG20" s="92" t="s">
        <v>66</v>
      </c>
      <c r="AH20" s="92" t="s">
        <v>66</v>
      </c>
      <c r="AI20" s="92" t="s">
        <v>66</v>
      </c>
      <c r="AJ20" s="92" t="s">
        <v>66</v>
      </c>
      <c r="AK20" s="92" t="s">
        <v>66</v>
      </c>
      <c r="AL20" s="92" t="s">
        <v>66</v>
      </c>
      <c r="AM20" s="92" t="s">
        <v>66</v>
      </c>
    </row>
    <row r="21" spans="1:39" x14ac:dyDescent="0.2">
      <c r="A21" t="s">
        <v>20</v>
      </c>
      <c r="B21" s="92" t="s">
        <v>64</v>
      </c>
      <c r="C21" s="92" t="s">
        <v>0</v>
      </c>
      <c r="D21" s="92" t="s">
        <v>326</v>
      </c>
      <c r="E21" s="93">
        <v>4.5</v>
      </c>
      <c r="F21" s="93">
        <v>0</v>
      </c>
      <c r="G21" s="93">
        <v>612988.91</v>
      </c>
      <c r="H21" s="92" t="s">
        <v>65</v>
      </c>
      <c r="I21" s="92" t="s">
        <v>66</v>
      </c>
      <c r="J21" s="92" t="s">
        <v>66</v>
      </c>
      <c r="K21" s="92" t="s">
        <v>66</v>
      </c>
      <c r="L21" s="92" t="s">
        <v>298</v>
      </c>
      <c r="M21" s="92" t="s">
        <v>67</v>
      </c>
      <c r="N21" s="92" t="s">
        <v>116</v>
      </c>
      <c r="O21" s="92" t="s">
        <v>327</v>
      </c>
      <c r="P21" s="92" t="s">
        <v>66</v>
      </c>
      <c r="Q21" s="92" t="s">
        <v>69</v>
      </c>
      <c r="R21" s="92" t="s">
        <v>328</v>
      </c>
      <c r="S21" s="92" t="s">
        <v>66</v>
      </c>
      <c r="T21" s="92" t="s">
        <v>66</v>
      </c>
      <c r="U21" s="92" t="s">
        <v>66</v>
      </c>
      <c r="V21" s="92" t="s">
        <v>66</v>
      </c>
      <c r="W21" s="92" t="s">
        <v>66</v>
      </c>
      <c r="X21" s="92" t="s">
        <v>66</v>
      </c>
      <c r="Y21" s="92" t="s">
        <v>66</v>
      </c>
      <c r="Z21" s="92" t="s">
        <v>66</v>
      </c>
      <c r="AA21" s="92" t="s">
        <v>66</v>
      </c>
      <c r="AB21" s="92" t="s">
        <v>66</v>
      </c>
      <c r="AC21" s="92" t="s">
        <v>66</v>
      </c>
      <c r="AD21" s="92" t="s">
        <v>66</v>
      </c>
      <c r="AE21" s="92" t="s">
        <v>66</v>
      </c>
      <c r="AF21" s="92" t="s">
        <v>66</v>
      </c>
      <c r="AG21" s="92" t="s">
        <v>66</v>
      </c>
      <c r="AH21" s="92" t="s">
        <v>66</v>
      </c>
      <c r="AI21" s="92" t="s">
        <v>66</v>
      </c>
      <c r="AJ21" s="92" t="s">
        <v>66</v>
      </c>
      <c r="AK21" s="92" t="s">
        <v>66</v>
      </c>
      <c r="AL21" s="92" t="s">
        <v>66</v>
      </c>
      <c r="AM21" s="92" t="s">
        <v>66</v>
      </c>
    </row>
    <row r="22" spans="1:39" x14ac:dyDescent="0.2">
      <c r="A22" t="s">
        <v>20</v>
      </c>
      <c r="B22" s="92" t="s">
        <v>64</v>
      </c>
      <c r="C22" s="92" t="s">
        <v>0</v>
      </c>
      <c r="D22" s="92" t="s">
        <v>326</v>
      </c>
      <c r="E22" s="93">
        <v>500</v>
      </c>
      <c r="F22" s="93">
        <v>0</v>
      </c>
      <c r="G22" s="93">
        <v>612488.91</v>
      </c>
      <c r="H22" s="92" t="s">
        <v>65</v>
      </c>
      <c r="I22" s="92" t="s">
        <v>329</v>
      </c>
      <c r="J22" s="92" t="s">
        <v>330</v>
      </c>
      <c r="K22" s="92" t="s">
        <v>331</v>
      </c>
      <c r="L22" s="92" t="s">
        <v>298</v>
      </c>
      <c r="M22" s="92" t="s">
        <v>70</v>
      </c>
      <c r="N22" s="92" t="s">
        <v>332</v>
      </c>
      <c r="O22" s="92" t="s">
        <v>333</v>
      </c>
      <c r="P22" s="92" t="s">
        <v>66</v>
      </c>
      <c r="Q22" s="92" t="s">
        <v>69</v>
      </c>
      <c r="R22" s="92" t="s">
        <v>328</v>
      </c>
      <c r="S22" s="92" t="s">
        <v>66</v>
      </c>
      <c r="T22" s="92" t="s">
        <v>66</v>
      </c>
      <c r="U22" s="92" t="s">
        <v>66</v>
      </c>
      <c r="V22" s="92" t="s">
        <v>66</v>
      </c>
      <c r="W22" s="92" t="s">
        <v>66</v>
      </c>
      <c r="X22" s="92" t="s">
        <v>66</v>
      </c>
      <c r="Y22" s="92" t="s">
        <v>66</v>
      </c>
      <c r="Z22" s="92" t="s">
        <v>66</v>
      </c>
      <c r="AA22" s="92" t="s">
        <v>66</v>
      </c>
      <c r="AB22" s="92" t="s">
        <v>66</v>
      </c>
      <c r="AC22" s="92" t="s">
        <v>66</v>
      </c>
      <c r="AD22" s="92" t="s">
        <v>66</v>
      </c>
      <c r="AE22" s="92" t="s">
        <v>66</v>
      </c>
      <c r="AF22" s="92" t="s">
        <v>66</v>
      </c>
      <c r="AG22" s="92" t="s">
        <v>66</v>
      </c>
      <c r="AH22" s="92" t="s">
        <v>66</v>
      </c>
      <c r="AI22" s="92" t="s">
        <v>66</v>
      </c>
      <c r="AJ22" s="92" t="s">
        <v>66</v>
      </c>
      <c r="AK22" s="92" t="s">
        <v>66</v>
      </c>
      <c r="AL22" s="92" t="s">
        <v>66</v>
      </c>
      <c r="AM22" s="92" t="s">
        <v>66</v>
      </c>
    </row>
    <row r="23" spans="1:39" x14ac:dyDescent="0.2">
      <c r="A23" t="s">
        <v>20</v>
      </c>
      <c r="B23" s="92" t="s">
        <v>64</v>
      </c>
      <c r="C23" s="92" t="s">
        <v>0</v>
      </c>
      <c r="D23" s="92" t="s">
        <v>334</v>
      </c>
      <c r="E23" s="93">
        <v>4.5</v>
      </c>
      <c r="F23" s="93">
        <v>0</v>
      </c>
      <c r="G23" s="93">
        <v>612484.41</v>
      </c>
      <c r="H23" s="92" t="s">
        <v>65</v>
      </c>
      <c r="I23" s="92" t="s">
        <v>66</v>
      </c>
      <c r="J23" s="92" t="s">
        <v>66</v>
      </c>
      <c r="K23" s="92" t="s">
        <v>66</v>
      </c>
      <c r="L23" s="92" t="s">
        <v>298</v>
      </c>
      <c r="M23" s="92" t="s">
        <v>67</v>
      </c>
      <c r="N23" s="92" t="s">
        <v>116</v>
      </c>
      <c r="O23" s="92" t="s">
        <v>335</v>
      </c>
      <c r="P23" s="92" t="s">
        <v>66</v>
      </c>
      <c r="Q23" s="92" t="s">
        <v>69</v>
      </c>
      <c r="R23" s="92" t="s">
        <v>336</v>
      </c>
      <c r="S23" s="92" t="s">
        <v>66</v>
      </c>
      <c r="T23" s="92" t="s">
        <v>66</v>
      </c>
      <c r="U23" s="92" t="s">
        <v>66</v>
      </c>
      <c r="V23" s="92" t="s">
        <v>66</v>
      </c>
      <c r="W23" s="92" t="s">
        <v>66</v>
      </c>
      <c r="X23" s="92" t="s">
        <v>66</v>
      </c>
      <c r="Y23" s="92" t="s">
        <v>66</v>
      </c>
      <c r="Z23" s="92" t="s">
        <v>66</v>
      </c>
      <c r="AA23" s="92" t="s">
        <v>66</v>
      </c>
      <c r="AB23" s="92" t="s">
        <v>66</v>
      </c>
      <c r="AC23" s="92" t="s">
        <v>66</v>
      </c>
      <c r="AD23" s="92" t="s">
        <v>66</v>
      </c>
      <c r="AE23" s="92" t="s">
        <v>66</v>
      </c>
      <c r="AF23" s="92" t="s">
        <v>66</v>
      </c>
      <c r="AG23" s="92" t="s">
        <v>66</v>
      </c>
      <c r="AH23" s="92" t="s">
        <v>66</v>
      </c>
      <c r="AI23" s="92" t="s">
        <v>66</v>
      </c>
      <c r="AJ23" s="92" t="s">
        <v>66</v>
      </c>
      <c r="AK23" s="92" t="s">
        <v>66</v>
      </c>
      <c r="AL23" s="92" t="s">
        <v>66</v>
      </c>
      <c r="AM23" s="92" t="s">
        <v>66</v>
      </c>
    </row>
    <row r="24" spans="1:39" x14ac:dyDescent="0.2">
      <c r="A24" t="s">
        <v>20</v>
      </c>
      <c r="B24" s="92" t="s">
        <v>64</v>
      </c>
      <c r="C24" s="92" t="s">
        <v>0</v>
      </c>
      <c r="D24" s="92" t="s">
        <v>334</v>
      </c>
      <c r="E24" s="93">
        <v>300</v>
      </c>
      <c r="F24" s="93">
        <v>0</v>
      </c>
      <c r="G24" s="93">
        <v>612184.41</v>
      </c>
      <c r="H24" s="92" t="s">
        <v>65</v>
      </c>
      <c r="I24" s="92" t="s">
        <v>329</v>
      </c>
      <c r="J24" s="92" t="s">
        <v>330</v>
      </c>
      <c r="K24" s="92" t="s">
        <v>331</v>
      </c>
      <c r="L24" s="92" t="s">
        <v>298</v>
      </c>
      <c r="M24" s="92" t="s">
        <v>70</v>
      </c>
      <c r="N24" s="92" t="s">
        <v>337</v>
      </c>
      <c r="O24" s="92" t="s">
        <v>338</v>
      </c>
      <c r="P24" s="92" t="s">
        <v>66</v>
      </c>
      <c r="Q24" s="92" t="s">
        <v>69</v>
      </c>
      <c r="R24" s="92" t="s">
        <v>336</v>
      </c>
      <c r="S24" s="92" t="s">
        <v>66</v>
      </c>
      <c r="T24" s="92" t="s">
        <v>66</v>
      </c>
      <c r="U24" s="92" t="s">
        <v>66</v>
      </c>
      <c r="V24" s="92" t="s">
        <v>66</v>
      </c>
      <c r="W24" s="92" t="s">
        <v>66</v>
      </c>
      <c r="X24" s="92" t="s">
        <v>66</v>
      </c>
      <c r="Y24" s="92" t="s">
        <v>66</v>
      </c>
      <c r="Z24" s="92" t="s">
        <v>66</v>
      </c>
      <c r="AA24" s="92" t="s">
        <v>66</v>
      </c>
      <c r="AB24" s="92" t="s">
        <v>66</v>
      </c>
      <c r="AC24" s="92" t="s">
        <v>66</v>
      </c>
      <c r="AD24" s="92" t="s">
        <v>66</v>
      </c>
      <c r="AE24" s="92" t="s">
        <v>66</v>
      </c>
      <c r="AF24" s="92" t="s">
        <v>66</v>
      </c>
      <c r="AG24" s="92" t="s">
        <v>66</v>
      </c>
      <c r="AH24" s="92" t="s">
        <v>66</v>
      </c>
      <c r="AI24" s="92" t="s">
        <v>66</v>
      </c>
      <c r="AJ24" s="92" t="s">
        <v>66</v>
      </c>
      <c r="AK24" s="92" t="s">
        <v>66</v>
      </c>
      <c r="AL24" s="92" t="s">
        <v>66</v>
      </c>
      <c r="AM24" s="92" t="s">
        <v>66</v>
      </c>
    </row>
    <row r="25" spans="1:39" x14ac:dyDescent="0.2">
      <c r="A25" t="s">
        <v>20</v>
      </c>
      <c r="B25" s="92" t="s">
        <v>64</v>
      </c>
      <c r="C25" s="92" t="s">
        <v>0</v>
      </c>
      <c r="D25" s="92" t="s">
        <v>339</v>
      </c>
      <c r="E25" s="93">
        <v>200</v>
      </c>
      <c r="F25" s="93">
        <v>0</v>
      </c>
      <c r="G25" s="93">
        <v>611984.41</v>
      </c>
      <c r="H25" s="92" t="s">
        <v>65</v>
      </c>
      <c r="I25" s="92" t="s">
        <v>66</v>
      </c>
      <c r="J25" s="92" t="s">
        <v>66</v>
      </c>
      <c r="K25" s="92" t="s">
        <v>66</v>
      </c>
      <c r="L25" s="92" t="s">
        <v>298</v>
      </c>
      <c r="M25" s="92" t="s">
        <v>340</v>
      </c>
      <c r="N25" s="92" t="s">
        <v>341</v>
      </c>
      <c r="O25" s="92" t="s">
        <v>342</v>
      </c>
      <c r="P25" s="92" t="s">
        <v>66</v>
      </c>
      <c r="Q25" s="92" t="s">
        <v>84</v>
      </c>
      <c r="R25" s="92" t="s">
        <v>66</v>
      </c>
      <c r="S25" s="92" t="s">
        <v>66</v>
      </c>
      <c r="T25" s="92" t="s">
        <v>66</v>
      </c>
      <c r="U25" s="92" t="s">
        <v>66</v>
      </c>
      <c r="V25" s="92" t="s">
        <v>66</v>
      </c>
      <c r="W25" s="92" t="s">
        <v>66</v>
      </c>
      <c r="X25" s="92" t="s">
        <v>66</v>
      </c>
      <c r="Y25" s="92" t="s">
        <v>66</v>
      </c>
      <c r="Z25" s="92" t="s">
        <v>66</v>
      </c>
      <c r="AA25" s="92" t="s">
        <v>66</v>
      </c>
      <c r="AB25" s="92" t="s">
        <v>66</v>
      </c>
      <c r="AC25" s="92" t="s">
        <v>66</v>
      </c>
      <c r="AD25" s="92" t="s">
        <v>66</v>
      </c>
      <c r="AE25" s="92" t="s">
        <v>66</v>
      </c>
      <c r="AF25" s="92" t="s">
        <v>66</v>
      </c>
      <c r="AG25" s="92" t="s">
        <v>66</v>
      </c>
      <c r="AH25" s="92" t="s">
        <v>66</v>
      </c>
      <c r="AI25" s="92" t="s">
        <v>66</v>
      </c>
      <c r="AJ25" s="92" t="s">
        <v>66</v>
      </c>
      <c r="AK25" s="92" t="s">
        <v>66</v>
      </c>
      <c r="AL25" s="92" t="s">
        <v>66</v>
      </c>
      <c r="AM25" s="92" t="s">
        <v>66</v>
      </c>
    </row>
    <row r="26" spans="1:39" x14ac:dyDescent="0.2">
      <c r="A26" t="s">
        <v>20</v>
      </c>
      <c r="B26" s="92" t="s">
        <v>64</v>
      </c>
      <c r="C26" s="92" t="s">
        <v>0</v>
      </c>
      <c r="D26" s="92" t="s">
        <v>343</v>
      </c>
      <c r="E26" s="93">
        <v>1</v>
      </c>
      <c r="F26" s="93">
        <v>0</v>
      </c>
      <c r="G26" s="93">
        <v>611983.41</v>
      </c>
      <c r="H26" s="92" t="s">
        <v>65</v>
      </c>
      <c r="I26" s="92" t="s">
        <v>66</v>
      </c>
      <c r="J26" s="92" t="s">
        <v>66</v>
      </c>
      <c r="K26" s="92" t="s">
        <v>66</v>
      </c>
      <c r="L26" s="92" t="s">
        <v>298</v>
      </c>
      <c r="M26" s="92" t="s">
        <v>67</v>
      </c>
      <c r="N26" s="92" t="s">
        <v>68</v>
      </c>
      <c r="O26" s="92" t="s">
        <v>344</v>
      </c>
      <c r="P26" s="92" t="s">
        <v>66</v>
      </c>
      <c r="Q26" s="92" t="s">
        <v>69</v>
      </c>
      <c r="R26" s="92" t="s">
        <v>345</v>
      </c>
      <c r="S26" s="92" t="s">
        <v>66</v>
      </c>
      <c r="T26" s="92" t="s">
        <v>66</v>
      </c>
      <c r="U26" s="92" t="s">
        <v>66</v>
      </c>
      <c r="V26" s="92" t="s">
        <v>66</v>
      </c>
      <c r="W26" s="92" t="s">
        <v>66</v>
      </c>
      <c r="X26" s="92" t="s">
        <v>66</v>
      </c>
      <c r="Y26" s="92" t="s">
        <v>66</v>
      </c>
      <c r="Z26" s="92" t="s">
        <v>66</v>
      </c>
      <c r="AA26" s="92" t="s">
        <v>66</v>
      </c>
      <c r="AB26" s="92" t="s">
        <v>66</v>
      </c>
      <c r="AC26" s="92" t="s">
        <v>66</v>
      </c>
      <c r="AD26" s="92" t="s">
        <v>66</v>
      </c>
      <c r="AE26" s="92" t="s">
        <v>66</v>
      </c>
      <c r="AF26" s="92" t="s">
        <v>66</v>
      </c>
      <c r="AG26" s="92" t="s">
        <v>66</v>
      </c>
      <c r="AH26" s="92" t="s">
        <v>66</v>
      </c>
      <c r="AI26" s="92" t="s">
        <v>66</v>
      </c>
      <c r="AJ26" s="92" t="s">
        <v>66</v>
      </c>
      <c r="AK26" s="92" t="s">
        <v>66</v>
      </c>
      <c r="AL26" s="92" t="s">
        <v>66</v>
      </c>
      <c r="AM26" s="92" t="s">
        <v>66</v>
      </c>
    </row>
    <row r="27" spans="1:39" x14ac:dyDescent="0.2">
      <c r="A27" t="s">
        <v>25</v>
      </c>
      <c r="B27" s="92" t="s">
        <v>64</v>
      </c>
      <c r="C27" s="92" t="s">
        <v>0</v>
      </c>
      <c r="D27" s="92" t="s">
        <v>343</v>
      </c>
      <c r="E27" s="93">
        <v>2500</v>
      </c>
      <c r="F27" s="93">
        <v>0</v>
      </c>
      <c r="G27" s="93">
        <v>609483.41</v>
      </c>
      <c r="H27" s="92" t="s">
        <v>65</v>
      </c>
      <c r="I27" s="92" t="s">
        <v>0</v>
      </c>
      <c r="J27" s="92" t="s">
        <v>100</v>
      </c>
      <c r="K27" s="92" t="s">
        <v>101</v>
      </c>
      <c r="L27" s="92" t="s">
        <v>298</v>
      </c>
      <c r="M27" s="92" t="s">
        <v>70</v>
      </c>
      <c r="N27" s="92" t="s">
        <v>25</v>
      </c>
      <c r="O27" s="92" t="s">
        <v>346</v>
      </c>
      <c r="P27" s="92" t="s">
        <v>66</v>
      </c>
      <c r="Q27" s="92" t="s">
        <v>69</v>
      </c>
      <c r="R27" s="92" t="s">
        <v>345</v>
      </c>
      <c r="S27" s="92" t="s">
        <v>66</v>
      </c>
      <c r="T27" s="92" t="s">
        <v>66</v>
      </c>
      <c r="U27" s="92" t="s">
        <v>66</v>
      </c>
      <c r="V27" s="92" t="s">
        <v>66</v>
      </c>
      <c r="W27" s="92" t="s">
        <v>66</v>
      </c>
      <c r="X27" s="92" t="s">
        <v>66</v>
      </c>
      <c r="Y27" s="92" t="s">
        <v>66</v>
      </c>
      <c r="Z27" s="92" t="s">
        <v>66</v>
      </c>
      <c r="AA27" s="92" t="s">
        <v>66</v>
      </c>
      <c r="AB27" s="92" t="s">
        <v>66</v>
      </c>
      <c r="AC27" s="92" t="s">
        <v>66</v>
      </c>
      <c r="AD27" s="92" t="s">
        <v>66</v>
      </c>
      <c r="AE27" s="92" t="s">
        <v>66</v>
      </c>
      <c r="AF27" s="92" t="s">
        <v>66</v>
      </c>
      <c r="AG27" s="92" t="s">
        <v>66</v>
      </c>
      <c r="AH27" s="92" t="s">
        <v>66</v>
      </c>
      <c r="AI27" s="92" t="s">
        <v>66</v>
      </c>
      <c r="AJ27" s="92" t="s">
        <v>66</v>
      </c>
      <c r="AK27" s="92" t="s">
        <v>66</v>
      </c>
      <c r="AL27" s="92" t="s">
        <v>66</v>
      </c>
      <c r="AM27" s="92" t="s">
        <v>66</v>
      </c>
    </row>
    <row r="28" spans="1:39" x14ac:dyDescent="0.2">
      <c r="A28" t="s">
        <v>20</v>
      </c>
      <c r="B28" s="92" t="s">
        <v>64</v>
      </c>
      <c r="C28" s="92" t="s">
        <v>0</v>
      </c>
      <c r="D28" s="92" t="s">
        <v>347</v>
      </c>
      <c r="E28" s="93">
        <v>1</v>
      </c>
      <c r="F28" s="93">
        <v>0</v>
      </c>
      <c r="G28" s="93">
        <v>609482.41</v>
      </c>
      <c r="H28" s="92" t="s">
        <v>65</v>
      </c>
      <c r="I28" s="92" t="s">
        <v>66</v>
      </c>
      <c r="J28" s="92" t="s">
        <v>66</v>
      </c>
      <c r="K28" s="92" t="s">
        <v>66</v>
      </c>
      <c r="L28" s="92" t="s">
        <v>298</v>
      </c>
      <c r="M28" s="92" t="s">
        <v>67</v>
      </c>
      <c r="N28" s="92" t="s">
        <v>68</v>
      </c>
      <c r="O28" s="92" t="s">
        <v>348</v>
      </c>
      <c r="P28" s="92" t="s">
        <v>66</v>
      </c>
      <c r="Q28" s="92" t="s">
        <v>69</v>
      </c>
      <c r="R28" s="92" t="s">
        <v>349</v>
      </c>
      <c r="S28" s="92" t="s">
        <v>66</v>
      </c>
      <c r="T28" s="92" t="s">
        <v>66</v>
      </c>
      <c r="U28" s="92" t="s">
        <v>66</v>
      </c>
      <c r="V28" s="92" t="s">
        <v>66</v>
      </c>
      <c r="W28" s="92" t="s">
        <v>66</v>
      </c>
      <c r="X28" s="92" t="s">
        <v>66</v>
      </c>
      <c r="Y28" s="92" t="s">
        <v>66</v>
      </c>
      <c r="Z28" s="92" t="s">
        <v>66</v>
      </c>
      <c r="AA28" s="92" t="s">
        <v>66</v>
      </c>
      <c r="AB28" s="92" t="s">
        <v>66</v>
      </c>
      <c r="AC28" s="92" t="s">
        <v>66</v>
      </c>
      <c r="AD28" s="92" t="s">
        <v>66</v>
      </c>
      <c r="AE28" s="92" t="s">
        <v>66</v>
      </c>
      <c r="AF28" s="92" t="s">
        <v>66</v>
      </c>
      <c r="AG28" s="92" t="s">
        <v>66</v>
      </c>
      <c r="AH28" s="92" t="s">
        <v>66</v>
      </c>
      <c r="AI28" s="92" t="s">
        <v>66</v>
      </c>
      <c r="AJ28" s="92" t="s">
        <v>66</v>
      </c>
      <c r="AK28" s="92" t="s">
        <v>66</v>
      </c>
      <c r="AL28" s="92" t="s">
        <v>66</v>
      </c>
      <c r="AM28" s="92" t="s">
        <v>66</v>
      </c>
    </row>
    <row r="29" spans="1:39" x14ac:dyDescent="0.2">
      <c r="A29" t="s">
        <v>59</v>
      </c>
      <c r="B29" s="92" t="s">
        <v>64</v>
      </c>
      <c r="C29" s="92" t="s">
        <v>0</v>
      </c>
      <c r="D29" s="92" t="s">
        <v>347</v>
      </c>
      <c r="E29" s="93">
        <v>500000</v>
      </c>
      <c r="F29" s="93">
        <v>0</v>
      </c>
      <c r="G29" s="93">
        <v>109482.41</v>
      </c>
      <c r="H29" s="92" t="s">
        <v>65</v>
      </c>
      <c r="I29" s="92" t="s">
        <v>0</v>
      </c>
      <c r="J29" s="92" t="s">
        <v>166</v>
      </c>
      <c r="K29" s="92" t="s">
        <v>77</v>
      </c>
      <c r="L29" s="92" t="s">
        <v>298</v>
      </c>
      <c r="M29" s="92" t="s">
        <v>70</v>
      </c>
      <c r="N29" s="92" t="s">
        <v>1</v>
      </c>
      <c r="O29" s="92" t="s">
        <v>350</v>
      </c>
      <c r="P29" s="92" t="s">
        <v>66</v>
      </c>
      <c r="Q29" s="92" t="s">
        <v>69</v>
      </c>
      <c r="R29" s="92" t="s">
        <v>349</v>
      </c>
      <c r="S29" s="92" t="s">
        <v>66</v>
      </c>
      <c r="T29" s="92" t="s">
        <v>66</v>
      </c>
      <c r="U29" s="92" t="s">
        <v>66</v>
      </c>
      <c r="V29" s="92" t="s">
        <v>66</v>
      </c>
      <c r="W29" s="92" t="s">
        <v>66</v>
      </c>
      <c r="X29" s="92" t="s">
        <v>66</v>
      </c>
      <c r="Y29" s="92" t="s">
        <v>66</v>
      </c>
      <c r="Z29" s="92" t="s">
        <v>66</v>
      </c>
      <c r="AA29" s="92" t="s">
        <v>66</v>
      </c>
      <c r="AB29" s="92" t="s">
        <v>66</v>
      </c>
      <c r="AC29" s="92" t="s">
        <v>66</v>
      </c>
      <c r="AD29" s="92" t="s">
        <v>66</v>
      </c>
      <c r="AE29" s="92" t="s">
        <v>66</v>
      </c>
      <c r="AF29" s="92" t="s">
        <v>66</v>
      </c>
      <c r="AG29" s="92" t="s">
        <v>66</v>
      </c>
      <c r="AH29" s="92" t="s">
        <v>66</v>
      </c>
      <c r="AI29" s="92" t="s">
        <v>66</v>
      </c>
      <c r="AJ29" s="92" t="s">
        <v>66</v>
      </c>
      <c r="AK29" s="92" t="s">
        <v>66</v>
      </c>
      <c r="AL29" s="92" t="s">
        <v>66</v>
      </c>
      <c r="AM29" s="92" t="s">
        <v>66</v>
      </c>
    </row>
    <row r="30" spans="1:39" x14ac:dyDescent="0.2">
      <c r="A30" t="s">
        <v>167</v>
      </c>
      <c r="B30" s="92" t="s">
        <v>64</v>
      </c>
      <c r="C30" s="92" t="s">
        <v>0</v>
      </c>
      <c r="D30" s="92" t="s">
        <v>351</v>
      </c>
      <c r="E30" s="93">
        <v>0</v>
      </c>
      <c r="F30" s="93">
        <v>100000</v>
      </c>
      <c r="G30" s="93">
        <v>209482.41</v>
      </c>
      <c r="H30" s="92" t="s">
        <v>65</v>
      </c>
      <c r="I30" s="92" t="s">
        <v>302</v>
      </c>
      <c r="J30" s="92" t="s">
        <v>303</v>
      </c>
      <c r="K30" s="92" t="s">
        <v>304</v>
      </c>
      <c r="L30" s="92" t="s">
        <v>298</v>
      </c>
      <c r="M30" s="92" t="s">
        <v>305</v>
      </c>
      <c r="N30" s="92" t="s">
        <v>267</v>
      </c>
      <c r="O30" s="92" t="s">
        <v>352</v>
      </c>
      <c r="P30" s="92" t="s">
        <v>66</v>
      </c>
      <c r="Q30" s="92" t="s">
        <v>84</v>
      </c>
      <c r="R30" s="92" t="s">
        <v>66</v>
      </c>
      <c r="S30" s="92" t="s">
        <v>66</v>
      </c>
      <c r="T30" s="92" t="s">
        <v>66</v>
      </c>
      <c r="U30" s="92" t="s">
        <v>66</v>
      </c>
      <c r="V30" s="92" t="s">
        <v>66</v>
      </c>
      <c r="W30" s="92" t="s">
        <v>66</v>
      </c>
      <c r="X30" s="92" t="s">
        <v>66</v>
      </c>
      <c r="Y30" s="92" t="s">
        <v>66</v>
      </c>
      <c r="Z30" s="92" t="s">
        <v>66</v>
      </c>
      <c r="AA30" s="92" t="s">
        <v>66</v>
      </c>
      <c r="AB30" s="92" t="s">
        <v>66</v>
      </c>
      <c r="AC30" s="92" t="s">
        <v>66</v>
      </c>
      <c r="AD30" s="92" t="s">
        <v>66</v>
      </c>
      <c r="AE30" s="92" t="s">
        <v>66</v>
      </c>
      <c r="AF30" s="92" t="s">
        <v>66</v>
      </c>
      <c r="AG30" s="92" t="s">
        <v>66</v>
      </c>
      <c r="AH30" s="92" t="s">
        <v>66</v>
      </c>
      <c r="AI30" s="92" t="s">
        <v>66</v>
      </c>
      <c r="AJ30" s="92" t="s">
        <v>66</v>
      </c>
      <c r="AK30" s="92" t="s">
        <v>66</v>
      </c>
      <c r="AL30" s="92" t="s">
        <v>66</v>
      </c>
      <c r="AM30" s="92" t="s">
        <v>64</v>
      </c>
    </row>
    <row r="31" spans="1:39" x14ac:dyDescent="0.2">
      <c r="A31" t="s">
        <v>167</v>
      </c>
      <c r="B31" s="92" t="s">
        <v>64</v>
      </c>
      <c r="C31" s="92" t="s">
        <v>0</v>
      </c>
      <c r="D31" s="92" t="s">
        <v>353</v>
      </c>
      <c r="E31" s="93">
        <v>0</v>
      </c>
      <c r="F31" s="93">
        <v>800000</v>
      </c>
      <c r="G31" s="93">
        <v>1009482.41</v>
      </c>
      <c r="H31" s="92" t="s">
        <v>65</v>
      </c>
      <c r="I31" s="92" t="s">
        <v>354</v>
      </c>
      <c r="J31" s="92" t="s">
        <v>355</v>
      </c>
      <c r="K31" s="92" t="s">
        <v>356</v>
      </c>
      <c r="L31" s="92" t="s">
        <v>357</v>
      </c>
      <c r="M31" s="92" t="s">
        <v>72</v>
      </c>
      <c r="N31" s="92" t="s">
        <v>299</v>
      </c>
      <c r="O31" s="92" t="s">
        <v>358</v>
      </c>
      <c r="P31" s="92" t="s">
        <v>66</v>
      </c>
      <c r="Q31" s="92" t="s">
        <v>73</v>
      </c>
      <c r="R31" s="92" t="s">
        <v>66</v>
      </c>
      <c r="S31" s="92" t="s">
        <v>66</v>
      </c>
      <c r="T31" s="92" t="s">
        <v>66</v>
      </c>
      <c r="U31" s="92" t="s">
        <v>66</v>
      </c>
      <c r="V31" s="92" t="s">
        <v>66</v>
      </c>
      <c r="W31" s="92" t="s">
        <v>66</v>
      </c>
      <c r="X31" s="92" t="s">
        <v>66</v>
      </c>
      <c r="Y31" s="92" t="s">
        <v>66</v>
      </c>
      <c r="Z31" s="92" t="s">
        <v>66</v>
      </c>
      <c r="AA31" s="92" t="s">
        <v>66</v>
      </c>
      <c r="AB31" s="92" t="s">
        <v>66</v>
      </c>
      <c r="AC31" s="92" t="s">
        <v>66</v>
      </c>
      <c r="AD31" s="92" t="s">
        <v>66</v>
      </c>
      <c r="AE31" s="92" t="s">
        <v>66</v>
      </c>
      <c r="AF31" s="92" t="s">
        <v>66</v>
      </c>
      <c r="AG31" s="92" t="s">
        <v>66</v>
      </c>
      <c r="AH31" s="92" t="s">
        <v>66</v>
      </c>
      <c r="AI31" s="92" t="s">
        <v>66</v>
      </c>
      <c r="AJ31" s="92" t="s">
        <v>66</v>
      </c>
      <c r="AK31" s="92" t="s">
        <v>66</v>
      </c>
      <c r="AL31" s="92" t="s">
        <v>66</v>
      </c>
      <c r="AM31" s="92" t="s">
        <v>66</v>
      </c>
    </row>
    <row r="32" spans="1:39" x14ac:dyDescent="0.2">
      <c r="A32" t="s">
        <v>20</v>
      </c>
      <c r="B32" s="92" t="s">
        <v>64</v>
      </c>
      <c r="C32" s="92" t="s">
        <v>0</v>
      </c>
      <c r="D32" s="92" t="s">
        <v>359</v>
      </c>
      <c r="E32" s="93">
        <v>1</v>
      </c>
      <c r="F32" s="93">
        <v>0</v>
      </c>
      <c r="G32" s="93">
        <v>1009481.41</v>
      </c>
      <c r="H32" s="92" t="s">
        <v>65</v>
      </c>
      <c r="I32" s="92" t="s">
        <v>66</v>
      </c>
      <c r="J32" s="92" t="s">
        <v>66</v>
      </c>
      <c r="K32" s="92" t="s">
        <v>66</v>
      </c>
      <c r="L32" s="92" t="s">
        <v>360</v>
      </c>
      <c r="M32" s="92" t="s">
        <v>67</v>
      </c>
      <c r="N32" s="92" t="s">
        <v>68</v>
      </c>
      <c r="O32" s="92" t="s">
        <v>361</v>
      </c>
      <c r="P32" s="92" t="s">
        <v>66</v>
      </c>
      <c r="Q32" s="92" t="s">
        <v>69</v>
      </c>
      <c r="R32" s="92" t="s">
        <v>362</v>
      </c>
      <c r="S32" s="92" t="s">
        <v>66</v>
      </c>
      <c r="T32" s="92" t="s">
        <v>66</v>
      </c>
      <c r="U32" s="92" t="s">
        <v>66</v>
      </c>
      <c r="V32" s="92" t="s">
        <v>66</v>
      </c>
      <c r="W32" s="92" t="s">
        <v>66</v>
      </c>
      <c r="X32" s="92" t="s">
        <v>66</v>
      </c>
      <c r="Y32" s="92" t="s">
        <v>66</v>
      </c>
      <c r="Z32" s="92" t="s">
        <v>66</v>
      </c>
      <c r="AA32" s="92" t="s">
        <v>66</v>
      </c>
      <c r="AB32" s="92" t="s">
        <v>66</v>
      </c>
      <c r="AC32" s="92" t="s">
        <v>66</v>
      </c>
      <c r="AD32" s="92" t="s">
        <v>66</v>
      </c>
      <c r="AE32" s="92" t="s">
        <v>66</v>
      </c>
      <c r="AF32" s="92" t="s">
        <v>66</v>
      </c>
      <c r="AG32" s="92" t="s">
        <v>66</v>
      </c>
      <c r="AH32" s="92" t="s">
        <v>66</v>
      </c>
      <c r="AI32" s="92" t="s">
        <v>66</v>
      </c>
      <c r="AJ32" s="92" t="s">
        <v>66</v>
      </c>
      <c r="AK32" s="92" t="s">
        <v>66</v>
      </c>
      <c r="AL32" s="92" t="s">
        <v>66</v>
      </c>
      <c r="AM32" s="92" t="s">
        <v>66</v>
      </c>
    </row>
    <row r="33" spans="1:39" x14ac:dyDescent="0.2">
      <c r="A33" t="s">
        <v>59</v>
      </c>
      <c r="B33" s="92" t="s">
        <v>64</v>
      </c>
      <c r="C33" s="92" t="s">
        <v>0</v>
      </c>
      <c r="D33" s="92" t="s">
        <v>359</v>
      </c>
      <c r="E33" s="93">
        <v>300000</v>
      </c>
      <c r="F33" s="93">
        <v>0</v>
      </c>
      <c r="G33" s="93">
        <v>709481.41</v>
      </c>
      <c r="H33" s="92" t="s">
        <v>65</v>
      </c>
      <c r="I33" s="92" t="s">
        <v>0</v>
      </c>
      <c r="J33" s="92" t="s">
        <v>166</v>
      </c>
      <c r="K33" s="92" t="s">
        <v>77</v>
      </c>
      <c r="L33" s="92" t="s">
        <v>360</v>
      </c>
      <c r="M33" s="92" t="s">
        <v>70</v>
      </c>
      <c r="N33" s="92" t="s">
        <v>1</v>
      </c>
      <c r="O33" s="92" t="s">
        <v>363</v>
      </c>
      <c r="P33" s="92" t="s">
        <v>66</v>
      </c>
      <c r="Q33" s="92" t="s">
        <v>69</v>
      </c>
      <c r="R33" s="92" t="s">
        <v>362</v>
      </c>
      <c r="S33" s="92" t="s">
        <v>66</v>
      </c>
      <c r="T33" s="92" t="s">
        <v>66</v>
      </c>
      <c r="U33" s="92" t="s">
        <v>66</v>
      </c>
      <c r="V33" s="92" t="s">
        <v>66</v>
      </c>
      <c r="W33" s="92" t="s">
        <v>66</v>
      </c>
      <c r="X33" s="92" t="s">
        <v>66</v>
      </c>
      <c r="Y33" s="92" t="s">
        <v>66</v>
      </c>
      <c r="Z33" s="92" t="s">
        <v>66</v>
      </c>
      <c r="AA33" s="92" t="s">
        <v>66</v>
      </c>
      <c r="AB33" s="92" t="s">
        <v>66</v>
      </c>
      <c r="AC33" s="92" t="s">
        <v>66</v>
      </c>
      <c r="AD33" s="92" t="s">
        <v>66</v>
      </c>
      <c r="AE33" s="92" t="s">
        <v>66</v>
      </c>
      <c r="AF33" s="92" t="s">
        <v>66</v>
      </c>
      <c r="AG33" s="92" t="s">
        <v>66</v>
      </c>
      <c r="AH33" s="92" t="s">
        <v>66</v>
      </c>
      <c r="AI33" s="92" t="s">
        <v>66</v>
      </c>
      <c r="AJ33" s="92" t="s">
        <v>66</v>
      </c>
      <c r="AK33" s="92" t="s">
        <v>66</v>
      </c>
      <c r="AL33" s="92" t="s">
        <v>66</v>
      </c>
      <c r="AM33" s="92" t="s">
        <v>66</v>
      </c>
    </row>
    <row r="34" spans="1:39" x14ac:dyDescent="0.2">
      <c r="A34" t="s">
        <v>20</v>
      </c>
      <c r="B34" s="92" t="s">
        <v>64</v>
      </c>
      <c r="C34" s="92" t="s">
        <v>0</v>
      </c>
      <c r="D34" s="92" t="s">
        <v>364</v>
      </c>
      <c r="E34" s="93">
        <v>1</v>
      </c>
      <c r="F34" s="93">
        <v>0</v>
      </c>
      <c r="G34" s="93">
        <v>709480.41</v>
      </c>
      <c r="H34" s="92" t="s">
        <v>65</v>
      </c>
      <c r="I34" s="92" t="s">
        <v>66</v>
      </c>
      <c r="J34" s="92" t="s">
        <v>66</v>
      </c>
      <c r="K34" s="92" t="s">
        <v>66</v>
      </c>
      <c r="L34" s="92" t="s">
        <v>360</v>
      </c>
      <c r="M34" s="92" t="s">
        <v>67</v>
      </c>
      <c r="N34" s="92" t="s">
        <v>68</v>
      </c>
      <c r="O34" s="92" t="s">
        <v>365</v>
      </c>
      <c r="P34" s="92" t="s">
        <v>66</v>
      </c>
      <c r="Q34" s="92" t="s">
        <v>69</v>
      </c>
      <c r="R34" s="92" t="s">
        <v>366</v>
      </c>
      <c r="S34" s="92" t="s">
        <v>66</v>
      </c>
      <c r="T34" s="92" t="s">
        <v>66</v>
      </c>
      <c r="U34" s="92" t="s">
        <v>66</v>
      </c>
      <c r="V34" s="92" t="s">
        <v>66</v>
      </c>
      <c r="W34" s="92" t="s">
        <v>66</v>
      </c>
      <c r="X34" s="92" t="s">
        <v>66</v>
      </c>
      <c r="Y34" s="92" t="s">
        <v>66</v>
      </c>
      <c r="Z34" s="92" t="s">
        <v>66</v>
      </c>
      <c r="AA34" s="92" t="s">
        <v>66</v>
      </c>
      <c r="AB34" s="92" t="s">
        <v>66</v>
      </c>
      <c r="AC34" s="92" t="s">
        <v>66</v>
      </c>
      <c r="AD34" s="92" t="s">
        <v>66</v>
      </c>
      <c r="AE34" s="92" t="s">
        <v>66</v>
      </c>
      <c r="AF34" s="92" t="s">
        <v>66</v>
      </c>
      <c r="AG34" s="92" t="s">
        <v>66</v>
      </c>
      <c r="AH34" s="92" t="s">
        <v>66</v>
      </c>
      <c r="AI34" s="92" t="s">
        <v>66</v>
      </c>
      <c r="AJ34" s="92" t="s">
        <v>66</v>
      </c>
      <c r="AK34" s="92" t="s">
        <v>66</v>
      </c>
      <c r="AL34" s="92" t="s">
        <v>66</v>
      </c>
      <c r="AM34" s="92" t="s">
        <v>66</v>
      </c>
    </row>
    <row r="35" spans="1:39" x14ac:dyDescent="0.2">
      <c r="A35" t="s">
        <v>59</v>
      </c>
      <c r="B35" s="92" t="s">
        <v>64</v>
      </c>
      <c r="C35" s="92" t="s">
        <v>0</v>
      </c>
      <c r="D35" s="92" t="s">
        <v>364</v>
      </c>
      <c r="E35" s="93">
        <v>400000</v>
      </c>
      <c r="F35" s="93">
        <v>0</v>
      </c>
      <c r="G35" s="93">
        <v>309480.40999999997</v>
      </c>
      <c r="H35" s="92" t="s">
        <v>65</v>
      </c>
      <c r="I35" s="92" t="s">
        <v>0</v>
      </c>
      <c r="J35" s="92" t="s">
        <v>166</v>
      </c>
      <c r="K35" s="92" t="s">
        <v>77</v>
      </c>
      <c r="L35" s="92" t="s">
        <v>360</v>
      </c>
      <c r="M35" s="92" t="s">
        <v>70</v>
      </c>
      <c r="N35" s="92" t="s">
        <v>1</v>
      </c>
      <c r="O35" s="92" t="s">
        <v>367</v>
      </c>
      <c r="P35" s="92" t="s">
        <v>66</v>
      </c>
      <c r="Q35" s="92" t="s">
        <v>69</v>
      </c>
      <c r="R35" s="92" t="s">
        <v>366</v>
      </c>
      <c r="S35" s="92" t="s">
        <v>66</v>
      </c>
      <c r="T35" s="92" t="s">
        <v>66</v>
      </c>
      <c r="U35" s="92" t="s">
        <v>66</v>
      </c>
      <c r="V35" s="92" t="s">
        <v>66</v>
      </c>
      <c r="W35" s="92" t="s">
        <v>66</v>
      </c>
      <c r="X35" s="92" t="s">
        <v>66</v>
      </c>
      <c r="Y35" s="92" t="s">
        <v>66</v>
      </c>
      <c r="Z35" s="92" t="s">
        <v>66</v>
      </c>
      <c r="AA35" s="92" t="s">
        <v>66</v>
      </c>
      <c r="AB35" s="92" t="s">
        <v>66</v>
      </c>
      <c r="AC35" s="92" t="s">
        <v>66</v>
      </c>
      <c r="AD35" s="92" t="s">
        <v>66</v>
      </c>
      <c r="AE35" s="92" t="s">
        <v>66</v>
      </c>
      <c r="AF35" s="92" t="s">
        <v>66</v>
      </c>
      <c r="AG35" s="92" t="s">
        <v>66</v>
      </c>
      <c r="AH35" s="92" t="s">
        <v>66</v>
      </c>
      <c r="AI35" s="92" t="s">
        <v>66</v>
      </c>
      <c r="AJ35" s="92" t="s">
        <v>66</v>
      </c>
      <c r="AK35" s="92" t="s">
        <v>66</v>
      </c>
      <c r="AL35" s="92" t="s">
        <v>66</v>
      </c>
      <c r="AM35" s="92" t="s">
        <v>66</v>
      </c>
    </row>
    <row r="36" spans="1:39" x14ac:dyDescent="0.2">
      <c r="A36" t="s">
        <v>20</v>
      </c>
      <c r="B36" s="92" t="s">
        <v>64</v>
      </c>
      <c r="C36" s="92" t="s">
        <v>0</v>
      </c>
      <c r="D36" s="92" t="s">
        <v>368</v>
      </c>
      <c r="E36" s="93">
        <v>1</v>
      </c>
      <c r="F36" s="93">
        <v>0</v>
      </c>
      <c r="G36" s="93">
        <v>309479.40999999997</v>
      </c>
      <c r="H36" s="92" t="s">
        <v>65</v>
      </c>
      <c r="I36" s="92" t="s">
        <v>66</v>
      </c>
      <c r="J36" s="92" t="s">
        <v>66</v>
      </c>
      <c r="K36" s="92" t="s">
        <v>66</v>
      </c>
      <c r="L36" s="92" t="s">
        <v>360</v>
      </c>
      <c r="M36" s="92" t="s">
        <v>67</v>
      </c>
      <c r="N36" s="92" t="s">
        <v>68</v>
      </c>
      <c r="O36" s="92" t="s">
        <v>369</v>
      </c>
      <c r="P36" s="92" t="s">
        <v>66</v>
      </c>
      <c r="Q36" s="92" t="s">
        <v>69</v>
      </c>
      <c r="R36" s="92" t="s">
        <v>370</v>
      </c>
      <c r="S36" s="92" t="s">
        <v>66</v>
      </c>
      <c r="T36" s="92" t="s">
        <v>66</v>
      </c>
      <c r="U36" s="92" t="s">
        <v>66</v>
      </c>
      <c r="V36" s="92" t="s">
        <v>66</v>
      </c>
      <c r="W36" s="92" t="s">
        <v>66</v>
      </c>
      <c r="X36" s="92" t="s">
        <v>66</v>
      </c>
      <c r="Y36" s="92" t="s">
        <v>66</v>
      </c>
      <c r="Z36" s="92" t="s">
        <v>66</v>
      </c>
      <c r="AA36" s="92" t="s">
        <v>66</v>
      </c>
      <c r="AB36" s="92" t="s">
        <v>66</v>
      </c>
      <c r="AC36" s="92" t="s">
        <v>66</v>
      </c>
      <c r="AD36" s="92" t="s">
        <v>66</v>
      </c>
      <c r="AE36" s="92" t="s">
        <v>66</v>
      </c>
      <c r="AF36" s="92" t="s">
        <v>66</v>
      </c>
      <c r="AG36" s="92" t="s">
        <v>66</v>
      </c>
      <c r="AH36" s="92" t="s">
        <v>66</v>
      </c>
      <c r="AI36" s="92" t="s">
        <v>66</v>
      </c>
      <c r="AJ36" s="92" t="s">
        <v>66</v>
      </c>
      <c r="AK36" s="92" t="s">
        <v>66</v>
      </c>
      <c r="AL36" s="92" t="s">
        <v>66</v>
      </c>
      <c r="AM36" s="92" t="s">
        <v>66</v>
      </c>
    </row>
    <row r="37" spans="1:39" x14ac:dyDescent="0.2">
      <c r="A37" t="s">
        <v>59</v>
      </c>
      <c r="B37" s="92" t="s">
        <v>64</v>
      </c>
      <c r="C37" s="92" t="s">
        <v>0</v>
      </c>
      <c r="D37" s="92" t="s">
        <v>368</v>
      </c>
      <c r="E37" s="93">
        <v>300000</v>
      </c>
      <c r="F37" s="93">
        <v>0</v>
      </c>
      <c r="G37" s="93">
        <v>9479.41</v>
      </c>
      <c r="H37" s="92" t="s">
        <v>65</v>
      </c>
      <c r="I37" s="92" t="s">
        <v>0</v>
      </c>
      <c r="J37" s="92" t="s">
        <v>166</v>
      </c>
      <c r="K37" s="92" t="s">
        <v>77</v>
      </c>
      <c r="L37" s="92" t="s">
        <v>360</v>
      </c>
      <c r="M37" s="92" t="s">
        <v>70</v>
      </c>
      <c r="N37" s="92" t="s">
        <v>1</v>
      </c>
      <c r="O37" s="92" t="s">
        <v>371</v>
      </c>
      <c r="P37" s="92" t="s">
        <v>66</v>
      </c>
      <c r="Q37" s="92" t="s">
        <v>69</v>
      </c>
      <c r="R37" s="92" t="s">
        <v>370</v>
      </c>
      <c r="S37" s="92" t="s">
        <v>66</v>
      </c>
      <c r="T37" s="92" t="s">
        <v>66</v>
      </c>
      <c r="U37" s="92" t="s">
        <v>66</v>
      </c>
      <c r="V37" s="92" t="s">
        <v>66</v>
      </c>
      <c r="W37" s="92" t="s">
        <v>66</v>
      </c>
      <c r="X37" s="92" t="s">
        <v>66</v>
      </c>
      <c r="Y37" s="92" t="s">
        <v>66</v>
      </c>
      <c r="Z37" s="92" t="s">
        <v>66</v>
      </c>
      <c r="AA37" s="92" t="s">
        <v>66</v>
      </c>
      <c r="AB37" s="92" t="s">
        <v>66</v>
      </c>
      <c r="AC37" s="92" t="s">
        <v>66</v>
      </c>
      <c r="AD37" s="92" t="s">
        <v>66</v>
      </c>
      <c r="AE37" s="92" t="s">
        <v>66</v>
      </c>
      <c r="AF37" s="92" t="s">
        <v>66</v>
      </c>
      <c r="AG37" s="92" t="s">
        <v>66</v>
      </c>
      <c r="AH37" s="92" t="s">
        <v>66</v>
      </c>
      <c r="AI37" s="92" t="s">
        <v>66</v>
      </c>
      <c r="AJ37" s="92" t="s">
        <v>66</v>
      </c>
      <c r="AK37" s="92" t="s">
        <v>66</v>
      </c>
      <c r="AL37" s="92" t="s">
        <v>66</v>
      </c>
      <c r="AM37" s="92" t="s">
        <v>66</v>
      </c>
    </row>
    <row r="38" spans="1:39" x14ac:dyDescent="0.2">
      <c r="A38" t="s">
        <v>20</v>
      </c>
      <c r="B38" s="92" t="s">
        <v>64</v>
      </c>
      <c r="C38" s="92" t="s">
        <v>0</v>
      </c>
      <c r="D38" s="92" t="s">
        <v>372</v>
      </c>
      <c r="E38" s="93">
        <v>10</v>
      </c>
      <c r="F38" s="93">
        <v>0</v>
      </c>
      <c r="G38" s="93">
        <v>9469.41</v>
      </c>
      <c r="H38" s="92" t="s">
        <v>65</v>
      </c>
      <c r="I38" s="92" t="s">
        <v>66</v>
      </c>
      <c r="J38" s="92" t="s">
        <v>66</v>
      </c>
      <c r="K38" s="92" t="s">
        <v>66</v>
      </c>
      <c r="L38" s="92" t="s">
        <v>373</v>
      </c>
      <c r="M38" s="92" t="s">
        <v>99</v>
      </c>
      <c r="N38" s="92" t="s">
        <v>99</v>
      </c>
      <c r="O38" s="92" t="s">
        <v>374</v>
      </c>
      <c r="P38" s="92" t="s">
        <v>66</v>
      </c>
      <c r="Q38" s="92" t="s">
        <v>84</v>
      </c>
      <c r="R38" s="92" t="s">
        <v>66</v>
      </c>
      <c r="S38" s="92" t="s">
        <v>66</v>
      </c>
      <c r="T38" s="92" t="s">
        <v>66</v>
      </c>
      <c r="U38" s="92" t="s">
        <v>66</v>
      </c>
      <c r="V38" s="92" t="s">
        <v>66</v>
      </c>
      <c r="W38" s="92" t="s">
        <v>66</v>
      </c>
      <c r="X38" s="92" t="s">
        <v>66</v>
      </c>
      <c r="Y38" s="92" t="s">
        <v>66</v>
      </c>
      <c r="Z38" s="92" t="s">
        <v>66</v>
      </c>
      <c r="AA38" s="92" t="s">
        <v>66</v>
      </c>
      <c r="AB38" s="92" t="s">
        <v>66</v>
      </c>
      <c r="AC38" s="92" t="s">
        <v>66</v>
      </c>
      <c r="AD38" s="92" t="s">
        <v>66</v>
      </c>
      <c r="AE38" s="92" t="s">
        <v>66</v>
      </c>
      <c r="AF38" s="92" t="s">
        <v>66</v>
      </c>
      <c r="AG38" s="92" t="s">
        <v>66</v>
      </c>
      <c r="AH38" s="92" t="s">
        <v>66</v>
      </c>
      <c r="AI38" s="92" t="s">
        <v>66</v>
      </c>
      <c r="AJ38" s="92" t="s">
        <v>66</v>
      </c>
      <c r="AK38" s="92" t="s">
        <v>66</v>
      </c>
      <c r="AL38" s="92" t="s">
        <v>66</v>
      </c>
      <c r="AM38" s="92" t="s">
        <v>66</v>
      </c>
    </row>
    <row r="39" spans="1:39" x14ac:dyDescent="0.2">
      <c r="A39" t="s">
        <v>167</v>
      </c>
      <c r="B39" s="92" t="s">
        <v>64</v>
      </c>
      <c r="C39" s="92" t="s">
        <v>0</v>
      </c>
      <c r="D39" s="92" t="s">
        <v>375</v>
      </c>
      <c r="E39" s="93">
        <v>0</v>
      </c>
      <c r="F39" s="93">
        <v>10000.48</v>
      </c>
      <c r="G39" s="93">
        <v>19469.89</v>
      </c>
      <c r="H39" s="92" t="s">
        <v>65</v>
      </c>
      <c r="I39" s="92" t="s">
        <v>201</v>
      </c>
      <c r="J39" s="92" t="s">
        <v>202</v>
      </c>
      <c r="K39" s="92" t="s">
        <v>203</v>
      </c>
      <c r="L39" s="92" t="s">
        <v>376</v>
      </c>
      <c r="M39" s="92" t="s">
        <v>72</v>
      </c>
      <c r="N39" s="92" t="s">
        <v>377</v>
      </c>
      <c r="O39" s="92" t="s">
        <v>378</v>
      </c>
      <c r="P39" s="92" t="s">
        <v>66</v>
      </c>
      <c r="Q39" s="92" t="s">
        <v>73</v>
      </c>
      <c r="R39" s="92" t="s">
        <v>66</v>
      </c>
      <c r="S39" s="92" t="s">
        <v>66</v>
      </c>
      <c r="T39" s="92" t="s">
        <v>66</v>
      </c>
      <c r="U39" s="92" t="s">
        <v>66</v>
      </c>
      <c r="V39" s="92" t="s">
        <v>66</v>
      </c>
      <c r="W39" s="92" t="s">
        <v>66</v>
      </c>
      <c r="X39" s="92" t="s">
        <v>66</v>
      </c>
      <c r="Y39" s="92" t="s">
        <v>66</v>
      </c>
      <c r="Z39" s="92" t="s">
        <v>66</v>
      </c>
      <c r="AA39" s="92" t="s">
        <v>66</v>
      </c>
      <c r="AB39" s="92" t="s">
        <v>66</v>
      </c>
      <c r="AC39" s="92" t="s">
        <v>66</v>
      </c>
      <c r="AD39" s="92" t="s">
        <v>66</v>
      </c>
      <c r="AE39" s="92" t="s">
        <v>66</v>
      </c>
      <c r="AF39" s="92" t="s">
        <v>66</v>
      </c>
      <c r="AG39" s="92" t="s">
        <v>66</v>
      </c>
      <c r="AH39" s="92" t="s">
        <v>66</v>
      </c>
      <c r="AI39" s="92" t="s">
        <v>66</v>
      </c>
      <c r="AJ39" s="92" t="s">
        <v>66</v>
      </c>
      <c r="AK39" s="92" t="s">
        <v>66</v>
      </c>
      <c r="AL39" s="92" t="s">
        <v>66</v>
      </c>
      <c r="AM39" s="92" t="s">
        <v>66</v>
      </c>
    </row>
    <row r="40" spans="1:39" x14ac:dyDescent="0.2">
      <c r="A40" t="s">
        <v>20</v>
      </c>
      <c r="B40" s="92" t="s">
        <v>64</v>
      </c>
      <c r="C40" s="92" t="s">
        <v>0</v>
      </c>
      <c r="D40" s="92" t="s">
        <v>379</v>
      </c>
      <c r="E40" s="93">
        <v>35</v>
      </c>
      <c r="F40" s="93">
        <v>0</v>
      </c>
      <c r="G40" s="93">
        <v>19434.89</v>
      </c>
      <c r="H40" s="92" t="s">
        <v>65</v>
      </c>
      <c r="I40" s="92" t="s">
        <v>107</v>
      </c>
      <c r="J40" s="92" t="s">
        <v>108</v>
      </c>
      <c r="K40" s="92" t="s">
        <v>109</v>
      </c>
      <c r="L40" s="92" t="s">
        <v>380</v>
      </c>
      <c r="M40" s="92" t="s">
        <v>110</v>
      </c>
      <c r="N40" s="92" t="s">
        <v>110</v>
      </c>
      <c r="O40" s="92" t="s">
        <v>381</v>
      </c>
      <c r="P40" s="92" t="s">
        <v>66</v>
      </c>
      <c r="Q40" s="92" t="s">
        <v>69</v>
      </c>
      <c r="R40" s="92" t="s">
        <v>66</v>
      </c>
      <c r="S40" s="92" t="s">
        <v>66</v>
      </c>
      <c r="T40" s="92" t="s">
        <v>66</v>
      </c>
      <c r="U40" s="92" t="s">
        <v>66</v>
      </c>
      <c r="V40" s="92" t="s">
        <v>66</v>
      </c>
      <c r="W40" s="92" t="s">
        <v>66</v>
      </c>
      <c r="X40" s="92" t="s">
        <v>66</v>
      </c>
      <c r="Y40" s="92" t="s">
        <v>66</v>
      </c>
      <c r="Z40" s="92" t="s">
        <v>66</v>
      </c>
      <c r="AA40" s="92" t="s">
        <v>66</v>
      </c>
      <c r="AB40" s="92" t="s">
        <v>66</v>
      </c>
      <c r="AC40" s="92" t="s">
        <v>66</v>
      </c>
      <c r="AD40" s="92" t="s">
        <v>66</v>
      </c>
      <c r="AE40" s="92" t="s">
        <v>66</v>
      </c>
      <c r="AF40" s="92" t="s">
        <v>66</v>
      </c>
      <c r="AG40" s="92" t="s">
        <v>66</v>
      </c>
      <c r="AH40" s="92" t="s">
        <v>66</v>
      </c>
      <c r="AI40" s="92" t="s">
        <v>66</v>
      </c>
      <c r="AJ40" s="92" t="s">
        <v>66</v>
      </c>
      <c r="AK40" s="92" t="s">
        <v>66</v>
      </c>
      <c r="AL40" s="92" t="s">
        <v>66</v>
      </c>
      <c r="AM40" s="92" t="s">
        <v>66</v>
      </c>
    </row>
    <row r="41" spans="1:39" x14ac:dyDescent="0.2">
      <c r="A41" t="s">
        <v>20</v>
      </c>
      <c r="B41" s="92" t="s">
        <v>64</v>
      </c>
      <c r="C41" s="92" t="s">
        <v>0</v>
      </c>
      <c r="D41" s="92" t="s">
        <v>382</v>
      </c>
      <c r="E41" s="93">
        <v>164</v>
      </c>
      <c r="F41" s="93">
        <v>0</v>
      </c>
      <c r="G41" s="93">
        <v>19270.89</v>
      </c>
      <c r="H41" s="92" t="s">
        <v>65</v>
      </c>
      <c r="I41" s="92" t="s">
        <v>107</v>
      </c>
      <c r="J41" s="92" t="s">
        <v>108</v>
      </c>
      <c r="K41" s="92" t="s">
        <v>109</v>
      </c>
      <c r="L41" s="92" t="s">
        <v>380</v>
      </c>
      <c r="M41" s="92" t="s">
        <v>110</v>
      </c>
      <c r="N41" s="92" t="s">
        <v>110</v>
      </c>
      <c r="O41" s="92" t="s">
        <v>383</v>
      </c>
      <c r="P41" s="92" t="s">
        <v>66</v>
      </c>
      <c r="Q41" s="92" t="s">
        <v>69</v>
      </c>
      <c r="R41" s="92" t="s">
        <v>66</v>
      </c>
      <c r="S41" s="92" t="s">
        <v>66</v>
      </c>
      <c r="T41" s="92" t="s">
        <v>66</v>
      </c>
      <c r="U41" s="92" t="s">
        <v>66</v>
      </c>
      <c r="V41" s="92" t="s">
        <v>66</v>
      </c>
      <c r="W41" s="92" t="s">
        <v>66</v>
      </c>
      <c r="X41" s="92" t="s">
        <v>66</v>
      </c>
      <c r="Y41" s="92" t="s">
        <v>66</v>
      </c>
      <c r="Z41" s="92" t="s">
        <v>66</v>
      </c>
      <c r="AA41" s="92" t="s">
        <v>66</v>
      </c>
      <c r="AB41" s="92" t="s">
        <v>66</v>
      </c>
      <c r="AC41" s="92" t="s">
        <v>66</v>
      </c>
      <c r="AD41" s="92" t="s">
        <v>66</v>
      </c>
      <c r="AE41" s="92" t="s">
        <v>66</v>
      </c>
      <c r="AF41" s="92" t="s">
        <v>66</v>
      </c>
      <c r="AG41" s="92" t="s">
        <v>66</v>
      </c>
      <c r="AH41" s="92" t="s">
        <v>66</v>
      </c>
      <c r="AI41" s="92" t="s">
        <v>66</v>
      </c>
      <c r="AJ41" s="92" t="s">
        <v>66</v>
      </c>
      <c r="AK41" s="92" t="s">
        <v>66</v>
      </c>
      <c r="AL41" s="92" t="s">
        <v>66</v>
      </c>
      <c r="AM41" s="92" t="s">
        <v>66</v>
      </c>
    </row>
    <row r="42" spans="1:39" x14ac:dyDescent="0.2">
      <c r="A42" t="s">
        <v>164</v>
      </c>
      <c r="B42" s="92" t="s">
        <v>64</v>
      </c>
      <c r="C42" s="92" t="s">
        <v>0</v>
      </c>
      <c r="D42" s="92" t="s">
        <v>384</v>
      </c>
      <c r="E42" s="93">
        <v>0</v>
      </c>
      <c r="F42" s="93">
        <v>13440</v>
      </c>
      <c r="G42" s="93">
        <v>32710.89</v>
      </c>
      <c r="H42" s="92" t="s">
        <v>65</v>
      </c>
      <c r="I42" s="92" t="s">
        <v>385</v>
      </c>
      <c r="J42" s="92" t="s">
        <v>386</v>
      </c>
      <c r="K42" s="92" t="s">
        <v>387</v>
      </c>
      <c r="L42" s="92" t="s">
        <v>380</v>
      </c>
      <c r="M42" s="92" t="s">
        <v>70</v>
      </c>
      <c r="N42" s="92" t="s">
        <v>388</v>
      </c>
      <c r="O42" s="92" t="s">
        <v>389</v>
      </c>
      <c r="P42" s="92" t="s">
        <v>390</v>
      </c>
      <c r="Q42" s="92" t="s">
        <v>69</v>
      </c>
      <c r="R42" s="92" t="s">
        <v>391</v>
      </c>
      <c r="S42" s="92" t="s">
        <v>66</v>
      </c>
      <c r="T42" s="92" t="s">
        <v>66</v>
      </c>
      <c r="U42" s="92" t="s">
        <v>66</v>
      </c>
      <c r="V42" s="92" t="s">
        <v>66</v>
      </c>
      <c r="W42" s="92" t="s">
        <v>66</v>
      </c>
      <c r="X42" s="92" t="s">
        <v>66</v>
      </c>
      <c r="Y42" s="92" t="s">
        <v>66</v>
      </c>
      <c r="Z42" s="92" t="s">
        <v>66</v>
      </c>
      <c r="AA42" s="92" t="s">
        <v>66</v>
      </c>
      <c r="AB42" s="92" t="s">
        <v>66</v>
      </c>
      <c r="AC42" s="92" t="s">
        <v>66</v>
      </c>
      <c r="AD42" s="92" t="s">
        <v>66</v>
      </c>
      <c r="AE42" s="92" t="s">
        <v>66</v>
      </c>
      <c r="AF42" s="92" t="s">
        <v>66</v>
      </c>
      <c r="AG42" s="92" t="s">
        <v>66</v>
      </c>
      <c r="AH42" s="92" t="s">
        <v>66</v>
      </c>
      <c r="AI42" s="92" t="s">
        <v>66</v>
      </c>
      <c r="AJ42" s="92" t="s">
        <v>66</v>
      </c>
      <c r="AK42" s="92" t="s">
        <v>66</v>
      </c>
      <c r="AL42" s="92" t="s">
        <v>66</v>
      </c>
      <c r="AM42" s="92" t="s">
        <v>66</v>
      </c>
    </row>
    <row r="43" spans="1:39" x14ac:dyDescent="0.2">
      <c r="A43" t="s">
        <v>20</v>
      </c>
      <c r="B43" s="92" t="s">
        <v>64</v>
      </c>
      <c r="C43" s="92" t="s">
        <v>0</v>
      </c>
      <c r="D43" s="92" t="s">
        <v>392</v>
      </c>
      <c r="E43" s="93">
        <v>1</v>
      </c>
      <c r="F43" s="93">
        <v>0</v>
      </c>
      <c r="G43" s="93">
        <v>32709.89</v>
      </c>
      <c r="H43" s="92" t="s">
        <v>65</v>
      </c>
      <c r="I43" s="92" t="s">
        <v>66</v>
      </c>
      <c r="J43" s="92" t="s">
        <v>66</v>
      </c>
      <c r="K43" s="92" t="s">
        <v>66</v>
      </c>
      <c r="L43" s="92" t="s">
        <v>393</v>
      </c>
      <c r="M43" s="92" t="s">
        <v>67</v>
      </c>
      <c r="N43" s="92" t="s">
        <v>68</v>
      </c>
      <c r="O43" s="92" t="s">
        <v>394</v>
      </c>
      <c r="P43" s="92" t="s">
        <v>66</v>
      </c>
      <c r="Q43" s="92" t="s">
        <v>69</v>
      </c>
      <c r="R43" s="92" t="s">
        <v>395</v>
      </c>
      <c r="S43" s="92" t="s">
        <v>66</v>
      </c>
      <c r="T43" s="92" t="s">
        <v>66</v>
      </c>
      <c r="U43" s="92" t="s">
        <v>66</v>
      </c>
      <c r="V43" s="92" t="s">
        <v>66</v>
      </c>
      <c r="W43" s="92" t="s">
        <v>66</v>
      </c>
      <c r="X43" s="92" t="s">
        <v>66</v>
      </c>
      <c r="Y43" s="92" t="s">
        <v>66</v>
      </c>
      <c r="Z43" s="92" t="s">
        <v>66</v>
      </c>
      <c r="AA43" s="92" t="s">
        <v>66</v>
      </c>
      <c r="AB43" s="92" t="s">
        <v>66</v>
      </c>
      <c r="AC43" s="92" t="s">
        <v>66</v>
      </c>
      <c r="AD43" s="92" t="s">
        <v>66</v>
      </c>
      <c r="AE43" s="92" t="s">
        <v>66</v>
      </c>
      <c r="AF43" s="92" t="s">
        <v>66</v>
      </c>
      <c r="AG43" s="92" t="s">
        <v>66</v>
      </c>
      <c r="AH43" s="92" t="s">
        <v>66</v>
      </c>
      <c r="AI43" s="92" t="s">
        <v>66</v>
      </c>
      <c r="AJ43" s="92" t="s">
        <v>66</v>
      </c>
      <c r="AK43" s="92" t="s">
        <v>66</v>
      </c>
      <c r="AL43" s="92" t="s">
        <v>66</v>
      </c>
      <c r="AM43" s="92" t="s">
        <v>66</v>
      </c>
    </row>
    <row r="44" spans="1:39" x14ac:dyDescent="0.2">
      <c r="A44" t="s">
        <v>20</v>
      </c>
      <c r="B44" s="92" t="s">
        <v>64</v>
      </c>
      <c r="C44" s="92" t="s">
        <v>0</v>
      </c>
      <c r="D44" s="92" t="s">
        <v>392</v>
      </c>
      <c r="E44" s="93">
        <v>300</v>
      </c>
      <c r="F44" s="93">
        <v>0</v>
      </c>
      <c r="G44" s="93">
        <v>32409.89</v>
      </c>
      <c r="H44" s="92" t="s">
        <v>65</v>
      </c>
      <c r="I44" s="92" t="s">
        <v>396</v>
      </c>
      <c r="J44" s="92" t="s">
        <v>397</v>
      </c>
      <c r="K44" s="92" t="s">
        <v>398</v>
      </c>
      <c r="L44" s="92" t="s">
        <v>393</v>
      </c>
      <c r="M44" s="92" t="s">
        <v>70</v>
      </c>
      <c r="N44" s="92" t="s">
        <v>399</v>
      </c>
      <c r="O44" s="92" t="s">
        <v>400</v>
      </c>
      <c r="P44" s="92" t="s">
        <v>66</v>
      </c>
      <c r="Q44" s="92" t="s">
        <v>69</v>
      </c>
      <c r="R44" s="92" t="s">
        <v>395</v>
      </c>
      <c r="S44" s="92" t="s">
        <v>66</v>
      </c>
      <c r="T44" s="92" t="s">
        <v>66</v>
      </c>
      <c r="U44" s="92" t="s">
        <v>66</v>
      </c>
      <c r="V44" s="92" t="s">
        <v>66</v>
      </c>
      <c r="W44" s="92" t="s">
        <v>66</v>
      </c>
      <c r="X44" s="92" t="s">
        <v>66</v>
      </c>
      <c r="Y44" s="92" t="s">
        <v>66</v>
      </c>
      <c r="Z44" s="92" t="s">
        <v>66</v>
      </c>
      <c r="AA44" s="92" t="s">
        <v>66</v>
      </c>
      <c r="AB44" s="92" t="s">
        <v>66</v>
      </c>
      <c r="AC44" s="92" t="s">
        <v>66</v>
      </c>
      <c r="AD44" s="92" t="s">
        <v>66</v>
      </c>
      <c r="AE44" s="92" t="s">
        <v>66</v>
      </c>
      <c r="AF44" s="92" t="s">
        <v>66</v>
      </c>
      <c r="AG44" s="92" t="s">
        <v>66</v>
      </c>
      <c r="AH44" s="92" t="s">
        <v>66</v>
      </c>
      <c r="AI44" s="92" t="s">
        <v>66</v>
      </c>
      <c r="AJ44" s="92" t="s">
        <v>66</v>
      </c>
      <c r="AK44" s="92" t="s">
        <v>66</v>
      </c>
      <c r="AL44" s="92" t="s">
        <v>66</v>
      </c>
      <c r="AM44" s="92" t="s">
        <v>66</v>
      </c>
    </row>
    <row r="45" spans="1:39" x14ac:dyDescent="0.2">
      <c r="A45" t="s">
        <v>164</v>
      </c>
      <c r="B45" s="92" t="s">
        <v>64</v>
      </c>
      <c r="C45" s="92" t="s">
        <v>0</v>
      </c>
      <c r="D45" s="92" t="s">
        <v>401</v>
      </c>
      <c r="E45" s="93">
        <v>0</v>
      </c>
      <c r="F45" s="93">
        <v>228018.55</v>
      </c>
      <c r="G45" s="93">
        <v>260428.44</v>
      </c>
      <c r="H45" s="92" t="s">
        <v>65</v>
      </c>
      <c r="I45" s="92" t="s">
        <v>385</v>
      </c>
      <c r="J45" s="92" t="s">
        <v>386</v>
      </c>
      <c r="K45" s="92" t="s">
        <v>387</v>
      </c>
      <c r="L45" s="92" t="s">
        <v>393</v>
      </c>
      <c r="M45" s="92" t="s">
        <v>70</v>
      </c>
      <c r="N45" s="92" t="s">
        <v>388</v>
      </c>
      <c r="O45" s="92" t="s">
        <v>402</v>
      </c>
      <c r="P45" s="92" t="s">
        <v>403</v>
      </c>
      <c r="Q45" s="92" t="s">
        <v>69</v>
      </c>
      <c r="R45" s="92" t="s">
        <v>404</v>
      </c>
      <c r="S45" s="92" t="s">
        <v>66</v>
      </c>
      <c r="T45" s="92" t="s">
        <v>66</v>
      </c>
      <c r="U45" s="92" t="s">
        <v>66</v>
      </c>
      <c r="V45" s="92" t="s">
        <v>66</v>
      </c>
      <c r="W45" s="92" t="s">
        <v>66</v>
      </c>
      <c r="X45" s="92" t="s">
        <v>66</v>
      </c>
      <c r="Y45" s="92" t="s">
        <v>66</v>
      </c>
      <c r="Z45" s="92" t="s">
        <v>66</v>
      </c>
      <c r="AA45" s="92" t="s">
        <v>66</v>
      </c>
      <c r="AB45" s="92" t="s">
        <v>66</v>
      </c>
      <c r="AC45" s="92" t="s">
        <v>66</v>
      </c>
      <c r="AD45" s="92" t="s">
        <v>66</v>
      </c>
      <c r="AE45" s="92" t="s">
        <v>66</v>
      </c>
      <c r="AF45" s="92" t="s">
        <v>66</v>
      </c>
      <c r="AG45" s="92" t="s">
        <v>66</v>
      </c>
      <c r="AH45" s="92" t="s">
        <v>66</v>
      </c>
      <c r="AI45" s="92" t="s">
        <v>66</v>
      </c>
      <c r="AJ45" s="92" t="s">
        <v>66</v>
      </c>
      <c r="AK45" s="92" t="s">
        <v>66</v>
      </c>
      <c r="AL45" s="92" t="s">
        <v>66</v>
      </c>
      <c r="AM45" s="92" t="s">
        <v>66</v>
      </c>
    </row>
    <row r="46" spans="1:39" x14ac:dyDescent="0.2">
      <c r="A46" t="s">
        <v>57</v>
      </c>
      <c r="B46" s="92" t="s">
        <v>64</v>
      </c>
      <c r="C46" s="92" t="s">
        <v>0</v>
      </c>
      <c r="D46" s="92" t="s">
        <v>405</v>
      </c>
      <c r="E46" s="93">
        <v>0</v>
      </c>
      <c r="F46" s="93">
        <v>184597.41</v>
      </c>
      <c r="G46" s="93">
        <v>445025.85</v>
      </c>
      <c r="H46" s="92" t="s">
        <v>65</v>
      </c>
      <c r="I46" s="92" t="s">
        <v>0</v>
      </c>
      <c r="J46" s="92" t="s">
        <v>166</v>
      </c>
      <c r="K46" s="92" t="s">
        <v>77</v>
      </c>
      <c r="L46" s="92" t="s">
        <v>406</v>
      </c>
      <c r="M46" s="92" t="s">
        <v>72</v>
      </c>
      <c r="N46" s="92" t="s">
        <v>407</v>
      </c>
      <c r="O46" s="92" t="s">
        <v>408</v>
      </c>
      <c r="P46" s="92" t="s">
        <v>66</v>
      </c>
      <c r="Q46" s="92" t="s">
        <v>73</v>
      </c>
      <c r="R46" s="92" t="s">
        <v>66</v>
      </c>
      <c r="S46" s="92" t="s">
        <v>66</v>
      </c>
      <c r="T46" s="92" t="s">
        <v>66</v>
      </c>
      <c r="U46" s="92" t="s">
        <v>66</v>
      </c>
      <c r="V46" s="92" t="s">
        <v>66</v>
      </c>
      <c r="W46" s="92" t="s">
        <v>66</v>
      </c>
      <c r="X46" s="92" t="s">
        <v>66</v>
      </c>
      <c r="Y46" s="92" t="s">
        <v>66</v>
      </c>
      <c r="Z46" s="92" t="s">
        <v>66</v>
      </c>
      <c r="AA46" s="92" t="s">
        <v>66</v>
      </c>
      <c r="AB46" s="92" t="s">
        <v>66</v>
      </c>
      <c r="AC46" s="92" t="s">
        <v>66</v>
      </c>
      <c r="AD46" s="92" t="s">
        <v>66</v>
      </c>
      <c r="AE46" s="92" t="s">
        <v>66</v>
      </c>
      <c r="AF46" s="92" t="s">
        <v>66</v>
      </c>
      <c r="AG46" s="92" t="s">
        <v>66</v>
      </c>
      <c r="AH46" s="92" t="s">
        <v>66</v>
      </c>
      <c r="AI46" s="92" t="s">
        <v>66</v>
      </c>
      <c r="AJ46" s="92" t="s">
        <v>66</v>
      </c>
      <c r="AK46" s="92" t="s">
        <v>66</v>
      </c>
      <c r="AL46" s="92" t="s">
        <v>66</v>
      </c>
      <c r="AM46" s="92" t="s">
        <v>66</v>
      </c>
    </row>
    <row r="47" spans="1:39" x14ac:dyDescent="0.2">
      <c r="A47" t="s">
        <v>20</v>
      </c>
      <c r="B47" s="92" t="s">
        <v>64</v>
      </c>
      <c r="C47" s="92" t="s">
        <v>0</v>
      </c>
      <c r="D47" s="92" t="s">
        <v>409</v>
      </c>
      <c r="E47" s="93">
        <v>1</v>
      </c>
      <c r="F47" s="93">
        <v>0</v>
      </c>
      <c r="G47" s="93">
        <v>445024.85</v>
      </c>
      <c r="H47" s="92" t="s">
        <v>65</v>
      </c>
      <c r="I47" s="92" t="s">
        <v>66</v>
      </c>
      <c r="J47" s="92" t="s">
        <v>66</v>
      </c>
      <c r="K47" s="92" t="s">
        <v>66</v>
      </c>
      <c r="L47" s="92" t="s">
        <v>406</v>
      </c>
      <c r="M47" s="92" t="s">
        <v>67</v>
      </c>
      <c r="N47" s="92" t="s">
        <v>68</v>
      </c>
      <c r="O47" s="92" t="s">
        <v>410</v>
      </c>
      <c r="P47" s="92" t="s">
        <v>66</v>
      </c>
      <c r="Q47" s="92" t="s">
        <v>69</v>
      </c>
      <c r="R47" s="92" t="s">
        <v>411</v>
      </c>
      <c r="S47" s="92" t="s">
        <v>66</v>
      </c>
      <c r="T47" s="92" t="s">
        <v>66</v>
      </c>
      <c r="U47" s="92" t="s">
        <v>66</v>
      </c>
      <c r="V47" s="92" t="s">
        <v>66</v>
      </c>
      <c r="W47" s="92" t="s">
        <v>66</v>
      </c>
      <c r="X47" s="92" t="s">
        <v>66</v>
      </c>
      <c r="Y47" s="92" t="s">
        <v>66</v>
      </c>
      <c r="Z47" s="92" t="s">
        <v>66</v>
      </c>
      <c r="AA47" s="92" t="s">
        <v>66</v>
      </c>
      <c r="AB47" s="92" t="s">
        <v>66</v>
      </c>
      <c r="AC47" s="92" t="s">
        <v>66</v>
      </c>
      <c r="AD47" s="92" t="s">
        <v>66</v>
      </c>
      <c r="AE47" s="92" t="s">
        <v>66</v>
      </c>
      <c r="AF47" s="92" t="s">
        <v>66</v>
      </c>
      <c r="AG47" s="92" t="s">
        <v>66</v>
      </c>
      <c r="AH47" s="92" t="s">
        <v>66</v>
      </c>
      <c r="AI47" s="92" t="s">
        <v>66</v>
      </c>
      <c r="AJ47" s="92" t="s">
        <v>66</v>
      </c>
      <c r="AK47" s="92" t="s">
        <v>66</v>
      </c>
      <c r="AL47" s="92" t="s">
        <v>66</v>
      </c>
      <c r="AM47" s="92" t="s">
        <v>66</v>
      </c>
    </row>
    <row r="48" spans="1:39" x14ac:dyDescent="0.2">
      <c r="A48" t="s">
        <v>54</v>
      </c>
      <c r="B48" s="92" t="s">
        <v>64</v>
      </c>
      <c r="C48" s="92" t="s">
        <v>0</v>
      </c>
      <c r="D48" s="92" t="s">
        <v>409</v>
      </c>
      <c r="E48" s="93">
        <v>3500</v>
      </c>
      <c r="F48" s="93">
        <v>0</v>
      </c>
      <c r="G48" s="93">
        <v>441524.85</v>
      </c>
      <c r="H48" s="92" t="s">
        <v>65</v>
      </c>
      <c r="I48" s="92" t="s">
        <v>78</v>
      </c>
      <c r="J48" s="92" t="s">
        <v>79</v>
      </c>
      <c r="K48" s="92" t="s">
        <v>77</v>
      </c>
      <c r="L48" s="92" t="s">
        <v>406</v>
      </c>
      <c r="M48" s="92" t="s">
        <v>70</v>
      </c>
      <c r="N48" s="92" t="s">
        <v>412</v>
      </c>
      <c r="O48" s="92" t="s">
        <v>413</v>
      </c>
      <c r="P48" s="92" t="s">
        <v>66</v>
      </c>
      <c r="Q48" s="92" t="s">
        <v>69</v>
      </c>
      <c r="R48" s="92" t="s">
        <v>411</v>
      </c>
      <c r="S48" s="92" t="s">
        <v>66</v>
      </c>
      <c r="T48" s="92" t="s">
        <v>66</v>
      </c>
      <c r="U48" s="92" t="s">
        <v>66</v>
      </c>
      <c r="V48" s="92" t="s">
        <v>66</v>
      </c>
      <c r="W48" s="92" t="s">
        <v>66</v>
      </c>
      <c r="X48" s="92" t="s">
        <v>66</v>
      </c>
      <c r="Y48" s="92" t="s">
        <v>66</v>
      </c>
      <c r="Z48" s="92" t="s">
        <v>66</v>
      </c>
      <c r="AA48" s="92" t="s">
        <v>66</v>
      </c>
      <c r="AB48" s="92" t="s">
        <v>66</v>
      </c>
      <c r="AC48" s="92" t="s">
        <v>66</v>
      </c>
      <c r="AD48" s="92" t="s">
        <v>66</v>
      </c>
      <c r="AE48" s="92" t="s">
        <v>66</v>
      </c>
      <c r="AF48" s="92" t="s">
        <v>66</v>
      </c>
      <c r="AG48" s="92" t="s">
        <v>66</v>
      </c>
      <c r="AH48" s="92" t="s">
        <v>66</v>
      </c>
      <c r="AI48" s="92" t="s">
        <v>66</v>
      </c>
      <c r="AJ48" s="92" t="s">
        <v>66</v>
      </c>
      <c r="AK48" s="92" t="s">
        <v>66</v>
      </c>
      <c r="AL48" s="92" t="s">
        <v>66</v>
      </c>
      <c r="AM48" s="92" t="s">
        <v>66</v>
      </c>
    </row>
    <row r="49" spans="1:39" x14ac:dyDescent="0.2">
      <c r="A49" t="s">
        <v>20</v>
      </c>
      <c r="B49" s="92" t="s">
        <v>64</v>
      </c>
      <c r="C49" s="92" t="s">
        <v>0</v>
      </c>
      <c r="D49" s="92" t="s">
        <v>414</v>
      </c>
      <c r="E49" s="93">
        <v>1</v>
      </c>
      <c r="F49" s="93">
        <v>0</v>
      </c>
      <c r="G49" s="93">
        <v>441523.85</v>
      </c>
      <c r="H49" s="92" t="s">
        <v>65</v>
      </c>
      <c r="I49" s="92" t="s">
        <v>66</v>
      </c>
      <c r="J49" s="92" t="s">
        <v>66</v>
      </c>
      <c r="K49" s="92" t="s">
        <v>66</v>
      </c>
      <c r="L49" s="92" t="s">
        <v>406</v>
      </c>
      <c r="M49" s="92" t="s">
        <v>67</v>
      </c>
      <c r="N49" s="92" t="s">
        <v>68</v>
      </c>
      <c r="O49" s="92" t="s">
        <v>415</v>
      </c>
      <c r="P49" s="92" t="s">
        <v>66</v>
      </c>
      <c r="Q49" s="92" t="s">
        <v>69</v>
      </c>
      <c r="R49" s="92" t="s">
        <v>416</v>
      </c>
      <c r="S49" s="92" t="s">
        <v>66</v>
      </c>
      <c r="T49" s="92" t="s">
        <v>66</v>
      </c>
      <c r="U49" s="92" t="s">
        <v>66</v>
      </c>
      <c r="V49" s="92" t="s">
        <v>66</v>
      </c>
      <c r="W49" s="92" t="s">
        <v>66</v>
      </c>
      <c r="X49" s="92" t="s">
        <v>66</v>
      </c>
      <c r="Y49" s="92" t="s">
        <v>66</v>
      </c>
      <c r="Z49" s="92" t="s">
        <v>66</v>
      </c>
      <c r="AA49" s="92" t="s">
        <v>66</v>
      </c>
      <c r="AB49" s="92" t="s">
        <v>66</v>
      </c>
      <c r="AC49" s="92" t="s">
        <v>66</v>
      </c>
      <c r="AD49" s="92" t="s">
        <v>66</v>
      </c>
      <c r="AE49" s="92" t="s">
        <v>66</v>
      </c>
      <c r="AF49" s="92" t="s">
        <v>66</v>
      </c>
      <c r="AG49" s="92" t="s">
        <v>66</v>
      </c>
      <c r="AH49" s="92" t="s">
        <v>66</v>
      </c>
      <c r="AI49" s="92" t="s">
        <v>66</v>
      </c>
      <c r="AJ49" s="92" t="s">
        <v>66</v>
      </c>
      <c r="AK49" s="92" t="s">
        <v>66</v>
      </c>
      <c r="AL49" s="92" t="s">
        <v>66</v>
      </c>
      <c r="AM49" s="92" t="s">
        <v>66</v>
      </c>
    </row>
    <row r="50" spans="1:39" x14ac:dyDescent="0.2">
      <c r="A50" t="s">
        <v>54</v>
      </c>
      <c r="B50" s="92" t="s">
        <v>64</v>
      </c>
      <c r="C50" s="92" t="s">
        <v>0</v>
      </c>
      <c r="D50" s="92" t="s">
        <v>414</v>
      </c>
      <c r="E50" s="93">
        <v>42701.13</v>
      </c>
      <c r="F50" s="93">
        <v>0</v>
      </c>
      <c r="G50" s="93">
        <v>398822.72</v>
      </c>
      <c r="H50" s="92" t="s">
        <v>65</v>
      </c>
      <c r="I50" s="92" t="s">
        <v>78</v>
      </c>
      <c r="J50" s="92" t="s">
        <v>79</v>
      </c>
      <c r="K50" s="92" t="s">
        <v>77</v>
      </c>
      <c r="L50" s="92" t="s">
        <v>406</v>
      </c>
      <c r="M50" s="92" t="s">
        <v>70</v>
      </c>
      <c r="N50" s="92" t="s">
        <v>83</v>
      </c>
      <c r="O50" s="92" t="s">
        <v>417</v>
      </c>
      <c r="P50" s="92" t="s">
        <v>66</v>
      </c>
      <c r="Q50" s="92" t="s">
        <v>69</v>
      </c>
      <c r="R50" s="92" t="s">
        <v>416</v>
      </c>
      <c r="S50" s="92" t="s">
        <v>66</v>
      </c>
      <c r="T50" s="92" t="s">
        <v>66</v>
      </c>
      <c r="U50" s="92" t="s">
        <v>66</v>
      </c>
      <c r="V50" s="92" t="s">
        <v>66</v>
      </c>
      <c r="W50" s="92" t="s">
        <v>66</v>
      </c>
      <c r="X50" s="92" t="s">
        <v>66</v>
      </c>
      <c r="Y50" s="92" t="s">
        <v>66</v>
      </c>
      <c r="Z50" s="92" t="s">
        <v>66</v>
      </c>
      <c r="AA50" s="92" t="s">
        <v>66</v>
      </c>
      <c r="AB50" s="92" t="s">
        <v>66</v>
      </c>
      <c r="AC50" s="92" t="s">
        <v>66</v>
      </c>
      <c r="AD50" s="92" t="s">
        <v>66</v>
      </c>
      <c r="AE50" s="92" t="s">
        <v>66</v>
      </c>
      <c r="AF50" s="92" t="s">
        <v>66</v>
      </c>
      <c r="AG50" s="92" t="s">
        <v>66</v>
      </c>
      <c r="AH50" s="92" t="s">
        <v>66</v>
      </c>
      <c r="AI50" s="92" t="s">
        <v>66</v>
      </c>
      <c r="AJ50" s="92" t="s">
        <v>66</v>
      </c>
      <c r="AK50" s="92" t="s">
        <v>66</v>
      </c>
      <c r="AL50" s="92" t="s">
        <v>66</v>
      </c>
      <c r="AM50" s="92" t="s">
        <v>66</v>
      </c>
    </row>
    <row r="51" spans="1:39" x14ac:dyDescent="0.2">
      <c r="A51" t="s">
        <v>54</v>
      </c>
      <c r="B51" s="92" t="s">
        <v>64</v>
      </c>
      <c r="C51" s="92" t="s">
        <v>0</v>
      </c>
      <c r="D51" s="92" t="s">
        <v>418</v>
      </c>
      <c r="E51" s="93">
        <v>90729.5</v>
      </c>
      <c r="F51" s="93">
        <v>0</v>
      </c>
      <c r="G51" s="93">
        <v>308093.21999999997</v>
      </c>
      <c r="H51" s="92" t="s">
        <v>65</v>
      </c>
      <c r="I51" s="92" t="s">
        <v>80</v>
      </c>
      <c r="J51" s="92" t="s">
        <v>419</v>
      </c>
      <c r="K51" s="92" t="s">
        <v>81</v>
      </c>
      <c r="L51" s="92" t="s">
        <v>406</v>
      </c>
      <c r="M51" s="92" t="s">
        <v>82</v>
      </c>
      <c r="N51" s="92" t="s">
        <v>83</v>
      </c>
      <c r="O51" s="92" t="s">
        <v>420</v>
      </c>
      <c r="P51" s="92" t="s">
        <v>66</v>
      </c>
      <c r="Q51" s="92" t="s">
        <v>84</v>
      </c>
      <c r="R51" s="92" t="s">
        <v>421</v>
      </c>
      <c r="S51" s="92" t="s">
        <v>66</v>
      </c>
      <c r="T51" s="92" t="s">
        <v>66</v>
      </c>
      <c r="U51" s="92" t="s">
        <v>66</v>
      </c>
      <c r="V51" s="92" t="s">
        <v>66</v>
      </c>
      <c r="W51" s="92" t="s">
        <v>66</v>
      </c>
      <c r="X51" s="92" t="s">
        <v>66</v>
      </c>
      <c r="Y51" s="92" t="s">
        <v>66</v>
      </c>
      <c r="Z51" s="92" t="s">
        <v>66</v>
      </c>
      <c r="AA51" s="92" t="s">
        <v>66</v>
      </c>
      <c r="AB51" s="92" t="s">
        <v>66</v>
      </c>
      <c r="AC51" s="92" t="s">
        <v>66</v>
      </c>
      <c r="AD51" s="92" t="s">
        <v>66</v>
      </c>
      <c r="AE51" s="92" t="s">
        <v>66</v>
      </c>
      <c r="AF51" s="92" t="s">
        <v>66</v>
      </c>
      <c r="AG51" s="92" t="s">
        <v>66</v>
      </c>
      <c r="AH51" s="92" t="s">
        <v>66</v>
      </c>
      <c r="AI51" s="92" t="s">
        <v>66</v>
      </c>
      <c r="AJ51" s="92" t="s">
        <v>66</v>
      </c>
      <c r="AK51" s="92" t="s">
        <v>66</v>
      </c>
      <c r="AL51" s="92" t="s">
        <v>66</v>
      </c>
      <c r="AM51" s="92" t="s">
        <v>66</v>
      </c>
    </row>
    <row r="52" spans="1:39" x14ac:dyDescent="0.2">
      <c r="A52" t="s">
        <v>54</v>
      </c>
      <c r="B52" s="92" t="s">
        <v>64</v>
      </c>
      <c r="C52" s="92" t="s">
        <v>0</v>
      </c>
      <c r="D52" s="92" t="s">
        <v>422</v>
      </c>
      <c r="E52" s="93">
        <v>5000</v>
      </c>
      <c r="F52" s="93">
        <v>0</v>
      </c>
      <c r="G52" s="93">
        <v>303093.21999999997</v>
      </c>
      <c r="H52" s="92" t="s">
        <v>65</v>
      </c>
      <c r="I52" s="92" t="s">
        <v>80</v>
      </c>
      <c r="J52" s="92" t="s">
        <v>423</v>
      </c>
      <c r="K52" s="92" t="s">
        <v>81</v>
      </c>
      <c r="L52" s="92" t="s">
        <v>406</v>
      </c>
      <c r="M52" s="92" t="s">
        <v>82</v>
      </c>
      <c r="N52" s="92" t="s">
        <v>412</v>
      </c>
      <c r="O52" s="92" t="s">
        <v>424</v>
      </c>
      <c r="P52" s="92" t="s">
        <v>66</v>
      </c>
      <c r="Q52" s="92" t="s">
        <v>84</v>
      </c>
      <c r="R52" s="92" t="s">
        <v>425</v>
      </c>
      <c r="S52" s="92" t="s">
        <v>66</v>
      </c>
      <c r="T52" s="92" t="s">
        <v>66</v>
      </c>
      <c r="U52" s="92" t="s">
        <v>66</v>
      </c>
      <c r="V52" s="92" t="s">
        <v>66</v>
      </c>
      <c r="W52" s="92" t="s">
        <v>66</v>
      </c>
      <c r="X52" s="92" t="s">
        <v>66</v>
      </c>
      <c r="Y52" s="92" t="s">
        <v>66</v>
      </c>
      <c r="Z52" s="92" t="s">
        <v>66</v>
      </c>
      <c r="AA52" s="92" t="s">
        <v>66</v>
      </c>
      <c r="AB52" s="92" t="s">
        <v>66</v>
      </c>
      <c r="AC52" s="92" t="s">
        <v>66</v>
      </c>
      <c r="AD52" s="92" t="s">
        <v>66</v>
      </c>
      <c r="AE52" s="92" t="s">
        <v>66</v>
      </c>
      <c r="AF52" s="92" t="s">
        <v>66</v>
      </c>
      <c r="AG52" s="92" t="s">
        <v>66</v>
      </c>
      <c r="AH52" s="92" t="s">
        <v>66</v>
      </c>
      <c r="AI52" s="92" t="s">
        <v>66</v>
      </c>
      <c r="AJ52" s="92" t="s">
        <v>66</v>
      </c>
      <c r="AK52" s="92" t="s">
        <v>66</v>
      </c>
      <c r="AL52" s="92" t="s">
        <v>66</v>
      </c>
      <c r="AM52" s="92" t="s">
        <v>66</v>
      </c>
    </row>
    <row r="53" spans="1:39" x14ac:dyDescent="0.2">
      <c r="A53" t="s">
        <v>54</v>
      </c>
      <c r="B53" s="92" t="s">
        <v>64</v>
      </c>
      <c r="C53" s="92" t="s">
        <v>0</v>
      </c>
      <c r="D53" s="92" t="s">
        <v>426</v>
      </c>
      <c r="E53" s="93">
        <v>500</v>
      </c>
      <c r="F53" s="93">
        <v>0</v>
      </c>
      <c r="G53" s="93">
        <v>302593.21999999997</v>
      </c>
      <c r="H53" s="92" t="s">
        <v>65</v>
      </c>
      <c r="I53" s="92" t="s">
        <v>95</v>
      </c>
      <c r="J53" s="92" t="s">
        <v>96</v>
      </c>
      <c r="K53" s="92" t="s">
        <v>97</v>
      </c>
      <c r="L53" s="92" t="s">
        <v>406</v>
      </c>
      <c r="M53" s="92" t="s">
        <v>82</v>
      </c>
      <c r="N53" s="92" t="s">
        <v>98</v>
      </c>
      <c r="O53" s="92" t="s">
        <v>427</v>
      </c>
      <c r="P53" s="92" t="s">
        <v>66</v>
      </c>
      <c r="Q53" s="92" t="s">
        <v>69</v>
      </c>
      <c r="R53" s="92" t="s">
        <v>66</v>
      </c>
      <c r="S53" s="92" t="s">
        <v>66</v>
      </c>
      <c r="T53" s="92" t="s">
        <v>66</v>
      </c>
      <c r="U53" s="92" t="s">
        <v>66</v>
      </c>
      <c r="V53" s="92" t="s">
        <v>66</v>
      </c>
      <c r="W53" s="92" t="s">
        <v>66</v>
      </c>
      <c r="X53" s="92" t="s">
        <v>66</v>
      </c>
      <c r="Y53" s="92" t="s">
        <v>66</v>
      </c>
      <c r="Z53" s="92" t="s">
        <v>66</v>
      </c>
      <c r="AA53" s="92" t="s">
        <v>66</v>
      </c>
      <c r="AB53" s="92" t="s">
        <v>66</v>
      </c>
      <c r="AC53" s="92" t="s">
        <v>66</v>
      </c>
      <c r="AD53" s="92" t="s">
        <v>66</v>
      </c>
      <c r="AE53" s="92" t="s">
        <v>66</v>
      </c>
      <c r="AF53" s="92" t="s">
        <v>66</v>
      </c>
      <c r="AG53" s="92" t="s">
        <v>66</v>
      </c>
      <c r="AH53" s="92" t="s">
        <v>66</v>
      </c>
      <c r="AI53" s="92" t="s">
        <v>66</v>
      </c>
      <c r="AJ53" s="92" t="s">
        <v>66</v>
      </c>
      <c r="AK53" s="92" t="s">
        <v>66</v>
      </c>
      <c r="AL53" s="92" t="s">
        <v>66</v>
      </c>
      <c r="AM53" s="92" t="s">
        <v>66</v>
      </c>
    </row>
    <row r="54" spans="1:39" x14ac:dyDescent="0.2">
      <c r="A54" t="s">
        <v>54</v>
      </c>
      <c r="B54" s="92" t="s">
        <v>64</v>
      </c>
      <c r="C54" s="92" t="s">
        <v>0</v>
      </c>
      <c r="D54" s="92" t="s">
        <v>428</v>
      </c>
      <c r="E54" s="93">
        <v>5921.69</v>
      </c>
      <c r="F54" s="93">
        <v>0</v>
      </c>
      <c r="G54" s="93">
        <v>296671.53000000003</v>
      </c>
      <c r="H54" s="92" t="s">
        <v>65</v>
      </c>
      <c r="I54" s="92" t="s">
        <v>85</v>
      </c>
      <c r="J54" s="92" t="s">
        <v>86</v>
      </c>
      <c r="K54" s="92" t="s">
        <v>87</v>
      </c>
      <c r="L54" s="92" t="s">
        <v>406</v>
      </c>
      <c r="M54" s="92" t="s">
        <v>82</v>
      </c>
      <c r="N54" s="92" t="s">
        <v>83</v>
      </c>
      <c r="O54" s="92" t="s">
        <v>429</v>
      </c>
      <c r="P54" s="92" t="s">
        <v>66</v>
      </c>
      <c r="Q54" s="92" t="s">
        <v>69</v>
      </c>
      <c r="R54" s="92" t="s">
        <v>66</v>
      </c>
      <c r="S54" s="92" t="s">
        <v>66</v>
      </c>
      <c r="T54" s="92" t="s">
        <v>66</v>
      </c>
      <c r="U54" s="92" t="s">
        <v>66</v>
      </c>
      <c r="V54" s="92" t="s">
        <v>66</v>
      </c>
      <c r="W54" s="92" t="s">
        <v>66</v>
      </c>
      <c r="X54" s="92" t="s">
        <v>66</v>
      </c>
      <c r="Y54" s="92" t="s">
        <v>66</v>
      </c>
      <c r="Z54" s="92" t="s">
        <v>66</v>
      </c>
      <c r="AA54" s="92" t="s">
        <v>66</v>
      </c>
      <c r="AB54" s="92" t="s">
        <v>66</v>
      </c>
      <c r="AC54" s="92" t="s">
        <v>66</v>
      </c>
      <c r="AD54" s="92" t="s">
        <v>66</v>
      </c>
      <c r="AE54" s="92" t="s">
        <v>66</v>
      </c>
      <c r="AF54" s="92" t="s">
        <v>66</v>
      </c>
      <c r="AG54" s="92" t="s">
        <v>66</v>
      </c>
      <c r="AH54" s="92" t="s">
        <v>66</v>
      </c>
      <c r="AI54" s="92" t="s">
        <v>66</v>
      </c>
      <c r="AJ54" s="92" t="s">
        <v>66</v>
      </c>
      <c r="AK54" s="92" t="s">
        <v>66</v>
      </c>
      <c r="AL54" s="92" t="s">
        <v>66</v>
      </c>
      <c r="AM54" s="92" t="s">
        <v>66</v>
      </c>
    </row>
    <row r="55" spans="1:39" x14ac:dyDescent="0.2">
      <c r="A55" t="s">
        <v>54</v>
      </c>
      <c r="B55" s="92" t="s">
        <v>64</v>
      </c>
      <c r="C55" s="92" t="s">
        <v>0</v>
      </c>
      <c r="D55" s="92" t="s">
        <v>428</v>
      </c>
      <c r="E55" s="93">
        <v>7143.89</v>
      </c>
      <c r="F55" s="93">
        <v>0</v>
      </c>
      <c r="G55" s="93">
        <v>289527.64</v>
      </c>
      <c r="H55" s="92" t="s">
        <v>65</v>
      </c>
      <c r="I55" s="92" t="s">
        <v>88</v>
      </c>
      <c r="J55" s="92" t="s">
        <v>89</v>
      </c>
      <c r="K55" s="92" t="s">
        <v>71</v>
      </c>
      <c r="L55" s="92" t="s">
        <v>406</v>
      </c>
      <c r="M55" s="92" t="s">
        <v>82</v>
      </c>
      <c r="N55" s="92" t="s">
        <v>83</v>
      </c>
      <c r="O55" s="92" t="s">
        <v>430</v>
      </c>
      <c r="P55" s="92" t="s">
        <v>66</v>
      </c>
      <c r="Q55" s="92" t="s">
        <v>69</v>
      </c>
      <c r="R55" s="92" t="s">
        <v>66</v>
      </c>
      <c r="S55" s="92" t="s">
        <v>66</v>
      </c>
      <c r="T55" s="92" t="s">
        <v>66</v>
      </c>
      <c r="U55" s="92" t="s">
        <v>66</v>
      </c>
      <c r="V55" s="92" t="s">
        <v>66</v>
      </c>
      <c r="W55" s="92" t="s">
        <v>66</v>
      </c>
      <c r="X55" s="92" t="s">
        <v>66</v>
      </c>
      <c r="Y55" s="92" t="s">
        <v>66</v>
      </c>
      <c r="Z55" s="92" t="s">
        <v>66</v>
      </c>
      <c r="AA55" s="92" t="s">
        <v>66</v>
      </c>
      <c r="AB55" s="92" t="s">
        <v>66</v>
      </c>
      <c r="AC55" s="92" t="s">
        <v>66</v>
      </c>
      <c r="AD55" s="92" t="s">
        <v>66</v>
      </c>
      <c r="AE55" s="92" t="s">
        <v>66</v>
      </c>
      <c r="AF55" s="92" t="s">
        <v>66</v>
      </c>
      <c r="AG55" s="92" t="s">
        <v>66</v>
      </c>
      <c r="AH55" s="92" t="s">
        <v>66</v>
      </c>
      <c r="AI55" s="92" t="s">
        <v>66</v>
      </c>
      <c r="AJ55" s="92" t="s">
        <v>66</v>
      </c>
      <c r="AK55" s="92" t="s">
        <v>66</v>
      </c>
      <c r="AL55" s="92" t="s">
        <v>66</v>
      </c>
      <c r="AM55" s="92" t="s">
        <v>66</v>
      </c>
    </row>
    <row r="56" spans="1:39" x14ac:dyDescent="0.2">
      <c r="A56" t="s">
        <v>54</v>
      </c>
      <c r="B56" s="92" t="s">
        <v>64</v>
      </c>
      <c r="C56" s="92" t="s">
        <v>0</v>
      </c>
      <c r="D56" s="92" t="s">
        <v>431</v>
      </c>
      <c r="E56" s="93">
        <v>7697.76</v>
      </c>
      <c r="F56" s="93">
        <v>0</v>
      </c>
      <c r="G56" s="93">
        <v>281829.88</v>
      </c>
      <c r="H56" s="92" t="s">
        <v>65</v>
      </c>
      <c r="I56" s="92" t="s">
        <v>90</v>
      </c>
      <c r="J56" s="92" t="s">
        <v>91</v>
      </c>
      <c r="K56" s="92" t="s">
        <v>92</v>
      </c>
      <c r="L56" s="92" t="s">
        <v>406</v>
      </c>
      <c r="M56" s="92" t="s">
        <v>82</v>
      </c>
      <c r="N56" s="92" t="s">
        <v>83</v>
      </c>
      <c r="O56" s="92" t="s">
        <v>432</v>
      </c>
      <c r="P56" s="92" t="s">
        <v>66</v>
      </c>
      <c r="Q56" s="92" t="s">
        <v>69</v>
      </c>
      <c r="R56" s="92" t="s">
        <v>66</v>
      </c>
      <c r="S56" s="92" t="s">
        <v>66</v>
      </c>
      <c r="T56" s="92" t="s">
        <v>66</v>
      </c>
      <c r="U56" s="92" t="s">
        <v>66</v>
      </c>
      <c r="V56" s="92" t="s">
        <v>66</v>
      </c>
      <c r="W56" s="92" t="s">
        <v>66</v>
      </c>
      <c r="X56" s="92" t="s">
        <v>66</v>
      </c>
      <c r="Y56" s="92" t="s">
        <v>66</v>
      </c>
      <c r="Z56" s="92" t="s">
        <v>66</v>
      </c>
      <c r="AA56" s="92" t="s">
        <v>66</v>
      </c>
      <c r="AB56" s="92" t="s">
        <v>66</v>
      </c>
      <c r="AC56" s="92" t="s">
        <v>66</v>
      </c>
      <c r="AD56" s="92" t="s">
        <v>66</v>
      </c>
      <c r="AE56" s="92" t="s">
        <v>66</v>
      </c>
      <c r="AF56" s="92" t="s">
        <v>66</v>
      </c>
      <c r="AG56" s="92" t="s">
        <v>66</v>
      </c>
      <c r="AH56" s="92" t="s">
        <v>66</v>
      </c>
      <c r="AI56" s="92" t="s">
        <v>66</v>
      </c>
      <c r="AJ56" s="92" t="s">
        <v>66</v>
      </c>
      <c r="AK56" s="92" t="s">
        <v>66</v>
      </c>
      <c r="AL56" s="92" t="s">
        <v>66</v>
      </c>
      <c r="AM56" s="92" t="s">
        <v>66</v>
      </c>
    </row>
    <row r="57" spans="1:39" x14ac:dyDescent="0.2">
      <c r="A57" t="s">
        <v>54</v>
      </c>
      <c r="B57" s="92" t="s">
        <v>64</v>
      </c>
      <c r="C57" s="92" t="s">
        <v>0</v>
      </c>
      <c r="D57" s="92" t="s">
        <v>431</v>
      </c>
      <c r="E57" s="93">
        <v>4450.2299999999996</v>
      </c>
      <c r="F57" s="93">
        <v>0</v>
      </c>
      <c r="G57" s="93">
        <v>277379.65000000002</v>
      </c>
      <c r="H57" s="92" t="s">
        <v>65</v>
      </c>
      <c r="I57" s="92" t="s">
        <v>93</v>
      </c>
      <c r="J57" s="92" t="s">
        <v>94</v>
      </c>
      <c r="K57" s="92" t="s">
        <v>92</v>
      </c>
      <c r="L57" s="92" t="s">
        <v>406</v>
      </c>
      <c r="M57" s="92" t="s">
        <v>82</v>
      </c>
      <c r="N57" s="92" t="s">
        <v>83</v>
      </c>
      <c r="O57" s="92" t="s">
        <v>433</v>
      </c>
      <c r="P57" s="92" t="s">
        <v>66</v>
      </c>
      <c r="Q57" s="92" t="s">
        <v>69</v>
      </c>
      <c r="R57" s="92" t="s">
        <v>66</v>
      </c>
      <c r="S57" s="92" t="s">
        <v>66</v>
      </c>
      <c r="T57" s="92" t="s">
        <v>66</v>
      </c>
      <c r="U57" s="92" t="s">
        <v>66</v>
      </c>
      <c r="V57" s="92" t="s">
        <v>66</v>
      </c>
      <c r="W57" s="92" t="s">
        <v>66</v>
      </c>
      <c r="X57" s="92" t="s">
        <v>66</v>
      </c>
      <c r="Y57" s="92" t="s">
        <v>66</v>
      </c>
      <c r="Z57" s="92" t="s">
        <v>66</v>
      </c>
      <c r="AA57" s="92" t="s">
        <v>66</v>
      </c>
      <c r="AB57" s="92" t="s">
        <v>66</v>
      </c>
      <c r="AC57" s="92" t="s">
        <v>66</v>
      </c>
      <c r="AD57" s="92" t="s">
        <v>66</v>
      </c>
      <c r="AE57" s="92" t="s">
        <v>66</v>
      </c>
      <c r="AF57" s="92" t="s">
        <v>66</v>
      </c>
      <c r="AG57" s="92" t="s">
        <v>66</v>
      </c>
      <c r="AH57" s="92" t="s">
        <v>66</v>
      </c>
      <c r="AI57" s="92" t="s">
        <v>66</v>
      </c>
      <c r="AJ57" s="92" t="s">
        <v>66</v>
      </c>
      <c r="AK57" s="92" t="s">
        <v>66</v>
      </c>
      <c r="AL57" s="92" t="s">
        <v>66</v>
      </c>
      <c r="AM57" s="92" t="s">
        <v>66</v>
      </c>
    </row>
    <row r="58" spans="1:39" x14ac:dyDescent="0.2">
      <c r="A58" t="s">
        <v>54</v>
      </c>
      <c r="B58" s="92" t="s">
        <v>64</v>
      </c>
      <c r="C58" s="92" t="s">
        <v>0</v>
      </c>
      <c r="D58" s="92" t="s">
        <v>431</v>
      </c>
      <c r="E58" s="93">
        <v>5050.2299999999996</v>
      </c>
      <c r="F58" s="93">
        <v>0</v>
      </c>
      <c r="G58" s="93">
        <v>272329.42</v>
      </c>
      <c r="H58" s="92" t="s">
        <v>65</v>
      </c>
      <c r="I58" s="92" t="s">
        <v>90</v>
      </c>
      <c r="J58" s="92" t="s">
        <v>91</v>
      </c>
      <c r="K58" s="92" t="s">
        <v>92</v>
      </c>
      <c r="L58" s="92" t="s">
        <v>406</v>
      </c>
      <c r="M58" s="92" t="s">
        <v>82</v>
      </c>
      <c r="N58" s="92" t="s">
        <v>83</v>
      </c>
      <c r="O58" s="92" t="s">
        <v>434</v>
      </c>
      <c r="P58" s="92" t="s">
        <v>66</v>
      </c>
      <c r="Q58" s="92" t="s">
        <v>69</v>
      </c>
      <c r="R58" s="92" t="s">
        <v>66</v>
      </c>
      <c r="S58" s="92" t="s">
        <v>66</v>
      </c>
      <c r="T58" s="92" t="s">
        <v>66</v>
      </c>
      <c r="U58" s="92" t="s">
        <v>66</v>
      </c>
      <c r="V58" s="92" t="s">
        <v>66</v>
      </c>
      <c r="W58" s="92" t="s">
        <v>66</v>
      </c>
      <c r="X58" s="92" t="s">
        <v>66</v>
      </c>
      <c r="Y58" s="92" t="s">
        <v>66</v>
      </c>
      <c r="Z58" s="92" t="s">
        <v>66</v>
      </c>
      <c r="AA58" s="92" t="s">
        <v>66</v>
      </c>
      <c r="AB58" s="92" t="s">
        <v>66</v>
      </c>
      <c r="AC58" s="92" t="s">
        <v>66</v>
      </c>
      <c r="AD58" s="92" t="s">
        <v>66</v>
      </c>
      <c r="AE58" s="92" t="s">
        <v>66</v>
      </c>
      <c r="AF58" s="92" t="s">
        <v>66</v>
      </c>
      <c r="AG58" s="92" t="s">
        <v>66</v>
      </c>
      <c r="AH58" s="92" t="s">
        <v>66</v>
      </c>
      <c r="AI58" s="92" t="s">
        <v>66</v>
      </c>
      <c r="AJ58" s="92" t="s">
        <v>66</v>
      </c>
      <c r="AK58" s="92" t="s">
        <v>66</v>
      </c>
      <c r="AL58" s="92" t="s">
        <v>66</v>
      </c>
      <c r="AM58" s="92" t="s">
        <v>66</v>
      </c>
    </row>
    <row r="59" spans="1:39" x14ac:dyDescent="0.2">
      <c r="A59" t="s">
        <v>54</v>
      </c>
      <c r="B59" s="92" t="s">
        <v>64</v>
      </c>
      <c r="C59" s="92" t="s">
        <v>0</v>
      </c>
      <c r="D59" s="92" t="s">
        <v>435</v>
      </c>
      <c r="E59" s="93">
        <v>8202.82</v>
      </c>
      <c r="F59" s="93">
        <v>0</v>
      </c>
      <c r="G59" s="93">
        <v>264126.59999999998</v>
      </c>
      <c r="H59" s="92" t="s">
        <v>65</v>
      </c>
      <c r="I59" s="92" t="s">
        <v>436</v>
      </c>
      <c r="J59" s="92" t="s">
        <v>437</v>
      </c>
      <c r="K59" s="92" t="s">
        <v>97</v>
      </c>
      <c r="L59" s="92" t="s">
        <v>406</v>
      </c>
      <c r="M59" s="92" t="s">
        <v>82</v>
      </c>
      <c r="N59" s="92" t="s">
        <v>83</v>
      </c>
      <c r="O59" s="92" t="s">
        <v>438</v>
      </c>
      <c r="P59" s="92" t="s">
        <v>66</v>
      </c>
      <c r="Q59" s="92" t="s">
        <v>69</v>
      </c>
      <c r="R59" s="92" t="s">
        <v>66</v>
      </c>
      <c r="S59" s="92" t="s">
        <v>66</v>
      </c>
      <c r="T59" s="92" t="s">
        <v>66</v>
      </c>
      <c r="U59" s="92" t="s">
        <v>66</v>
      </c>
      <c r="V59" s="92" t="s">
        <v>66</v>
      </c>
      <c r="W59" s="92" t="s">
        <v>66</v>
      </c>
      <c r="X59" s="92" t="s">
        <v>66</v>
      </c>
      <c r="Y59" s="92" t="s">
        <v>66</v>
      </c>
      <c r="Z59" s="92" t="s">
        <v>66</v>
      </c>
      <c r="AA59" s="92" t="s">
        <v>66</v>
      </c>
      <c r="AB59" s="92" t="s">
        <v>66</v>
      </c>
      <c r="AC59" s="92" t="s">
        <v>66</v>
      </c>
      <c r="AD59" s="92" t="s">
        <v>66</v>
      </c>
      <c r="AE59" s="92" t="s">
        <v>66</v>
      </c>
      <c r="AF59" s="92" t="s">
        <v>66</v>
      </c>
      <c r="AG59" s="92" t="s">
        <v>66</v>
      </c>
      <c r="AH59" s="92" t="s">
        <v>66</v>
      </c>
      <c r="AI59" s="92" t="s">
        <v>66</v>
      </c>
      <c r="AJ59" s="92" t="s">
        <v>66</v>
      </c>
      <c r="AK59" s="92" t="s">
        <v>66</v>
      </c>
      <c r="AL59" s="92" t="s">
        <v>66</v>
      </c>
      <c r="AM59" s="92" t="s">
        <v>66</v>
      </c>
    </row>
    <row r="60" spans="1:39" x14ac:dyDescent="0.2">
      <c r="A60" t="s">
        <v>54</v>
      </c>
      <c r="B60" s="92" t="s">
        <v>64</v>
      </c>
      <c r="C60" s="92" t="s">
        <v>0</v>
      </c>
      <c r="D60" s="92" t="s">
        <v>439</v>
      </c>
      <c r="E60" s="93">
        <v>500</v>
      </c>
      <c r="F60" s="93">
        <v>0</v>
      </c>
      <c r="G60" s="93">
        <v>263626.59999999998</v>
      </c>
      <c r="H60" s="92" t="s">
        <v>65</v>
      </c>
      <c r="I60" s="92" t="s">
        <v>85</v>
      </c>
      <c r="J60" s="92" t="s">
        <v>86</v>
      </c>
      <c r="K60" s="92" t="s">
        <v>87</v>
      </c>
      <c r="L60" s="92" t="s">
        <v>406</v>
      </c>
      <c r="M60" s="92" t="s">
        <v>82</v>
      </c>
      <c r="N60" s="92" t="s">
        <v>412</v>
      </c>
      <c r="O60" s="92" t="s">
        <v>440</v>
      </c>
      <c r="P60" s="92" t="s">
        <v>66</v>
      </c>
      <c r="Q60" s="92" t="s">
        <v>69</v>
      </c>
      <c r="R60" s="92" t="s">
        <v>66</v>
      </c>
      <c r="S60" s="92" t="s">
        <v>66</v>
      </c>
      <c r="T60" s="92" t="s">
        <v>66</v>
      </c>
      <c r="U60" s="92" t="s">
        <v>66</v>
      </c>
      <c r="V60" s="92" t="s">
        <v>66</v>
      </c>
      <c r="W60" s="92" t="s">
        <v>66</v>
      </c>
      <c r="X60" s="92" t="s">
        <v>66</v>
      </c>
      <c r="Y60" s="92" t="s">
        <v>66</v>
      </c>
      <c r="Z60" s="92" t="s">
        <v>66</v>
      </c>
      <c r="AA60" s="92" t="s">
        <v>66</v>
      </c>
      <c r="AB60" s="92" t="s">
        <v>66</v>
      </c>
      <c r="AC60" s="92" t="s">
        <v>66</v>
      </c>
      <c r="AD60" s="92" t="s">
        <v>66</v>
      </c>
      <c r="AE60" s="92" t="s">
        <v>66</v>
      </c>
      <c r="AF60" s="92" t="s">
        <v>66</v>
      </c>
      <c r="AG60" s="92" t="s">
        <v>66</v>
      </c>
      <c r="AH60" s="92" t="s">
        <v>66</v>
      </c>
      <c r="AI60" s="92" t="s">
        <v>66</v>
      </c>
      <c r="AJ60" s="92" t="s">
        <v>66</v>
      </c>
      <c r="AK60" s="92" t="s">
        <v>66</v>
      </c>
      <c r="AL60" s="92" t="s">
        <v>66</v>
      </c>
      <c r="AM60" s="92" t="s">
        <v>66</v>
      </c>
    </row>
    <row r="61" spans="1:39" x14ac:dyDescent="0.2">
      <c r="A61" t="s">
        <v>54</v>
      </c>
      <c r="B61" s="92" t="s">
        <v>64</v>
      </c>
      <c r="C61" s="92" t="s">
        <v>0</v>
      </c>
      <c r="D61" s="92" t="s">
        <v>441</v>
      </c>
      <c r="E61" s="93">
        <v>500</v>
      </c>
      <c r="F61" s="93">
        <v>0</v>
      </c>
      <c r="G61" s="93">
        <v>263126.59999999998</v>
      </c>
      <c r="H61" s="92" t="s">
        <v>65</v>
      </c>
      <c r="I61" s="92" t="s">
        <v>88</v>
      </c>
      <c r="J61" s="92" t="s">
        <v>89</v>
      </c>
      <c r="K61" s="92" t="s">
        <v>71</v>
      </c>
      <c r="L61" s="92" t="s">
        <v>406</v>
      </c>
      <c r="M61" s="92" t="s">
        <v>82</v>
      </c>
      <c r="N61" s="92" t="s">
        <v>412</v>
      </c>
      <c r="O61" s="92" t="s">
        <v>442</v>
      </c>
      <c r="P61" s="92" t="s">
        <v>66</v>
      </c>
      <c r="Q61" s="92" t="s">
        <v>69</v>
      </c>
      <c r="R61" s="92" t="s">
        <v>66</v>
      </c>
      <c r="S61" s="92" t="s">
        <v>66</v>
      </c>
      <c r="T61" s="92" t="s">
        <v>66</v>
      </c>
      <c r="U61" s="92" t="s">
        <v>66</v>
      </c>
      <c r="V61" s="92" t="s">
        <v>66</v>
      </c>
      <c r="W61" s="92" t="s">
        <v>66</v>
      </c>
      <c r="X61" s="92" t="s">
        <v>66</v>
      </c>
      <c r="Y61" s="92" t="s">
        <v>66</v>
      </c>
      <c r="Z61" s="92" t="s">
        <v>66</v>
      </c>
      <c r="AA61" s="92" t="s">
        <v>66</v>
      </c>
      <c r="AB61" s="92" t="s">
        <v>66</v>
      </c>
      <c r="AC61" s="92" t="s">
        <v>66</v>
      </c>
      <c r="AD61" s="92" t="s">
        <v>66</v>
      </c>
      <c r="AE61" s="92" t="s">
        <v>66</v>
      </c>
      <c r="AF61" s="92" t="s">
        <v>66</v>
      </c>
      <c r="AG61" s="92" t="s">
        <v>66</v>
      </c>
      <c r="AH61" s="92" t="s">
        <v>66</v>
      </c>
      <c r="AI61" s="92" t="s">
        <v>66</v>
      </c>
      <c r="AJ61" s="92" t="s">
        <v>66</v>
      </c>
      <c r="AK61" s="92" t="s">
        <v>66</v>
      </c>
      <c r="AL61" s="92" t="s">
        <v>66</v>
      </c>
      <c r="AM61" s="92" t="s">
        <v>66</v>
      </c>
    </row>
    <row r="62" spans="1:39" x14ac:dyDescent="0.2">
      <c r="A62" t="s">
        <v>54</v>
      </c>
      <c r="B62" s="92" t="s">
        <v>64</v>
      </c>
      <c r="C62" s="92" t="s">
        <v>0</v>
      </c>
      <c r="D62" s="92" t="s">
        <v>441</v>
      </c>
      <c r="E62" s="93">
        <v>1000</v>
      </c>
      <c r="F62" s="93">
        <v>0</v>
      </c>
      <c r="G62" s="93">
        <v>262126.6</v>
      </c>
      <c r="H62" s="92" t="s">
        <v>65</v>
      </c>
      <c r="I62" s="92" t="s">
        <v>90</v>
      </c>
      <c r="J62" s="92" t="s">
        <v>91</v>
      </c>
      <c r="K62" s="92" t="s">
        <v>92</v>
      </c>
      <c r="L62" s="92" t="s">
        <v>406</v>
      </c>
      <c r="M62" s="92" t="s">
        <v>82</v>
      </c>
      <c r="N62" s="92" t="s">
        <v>412</v>
      </c>
      <c r="O62" s="92" t="s">
        <v>443</v>
      </c>
      <c r="P62" s="92" t="s">
        <v>66</v>
      </c>
      <c r="Q62" s="92" t="s">
        <v>69</v>
      </c>
      <c r="R62" s="92" t="s">
        <v>66</v>
      </c>
      <c r="S62" s="92" t="s">
        <v>66</v>
      </c>
      <c r="T62" s="92" t="s">
        <v>66</v>
      </c>
      <c r="U62" s="92" t="s">
        <v>66</v>
      </c>
      <c r="V62" s="92" t="s">
        <v>66</v>
      </c>
      <c r="W62" s="92" t="s">
        <v>66</v>
      </c>
      <c r="X62" s="92" t="s">
        <v>66</v>
      </c>
      <c r="Y62" s="92" t="s">
        <v>66</v>
      </c>
      <c r="Z62" s="92" t="s">
        <v>66</v>
      </c>
      <c r="AA62" s="92" t="s">
        <v>66</v>
      </c>
      <c r="AB62" s="92" t="s">
        <v>66</v>
      </c>
      <c r="AC62" s="92" t="s">
        <v>66</v>
      </c>
      <c r="AD62" s="92" t="s">
        <v>66</v>
      </c>
      <c r="AE62" s="92" t="s">
        <v>66</v>
      </c>
      <c r="AF62" s="92" t="s">
        <v>66</v>
      </c>
      <c r="AG62" s="92" t="s">
        <v>66</v>
      </c>
      <c r="AH62" s="92" t="s">
        <v>66</v>
      </c>
      <c r="AI62" s="92" t="s">
        <v>66</v>
      </c>
      <c r="AJ62" s="92" t="s">
        <v>66</v>
      </c>
      <c r="AK62" s="92" t="s">
        <v>66</v>
      </c>
      <c r="AL62" s="92" t="s">
        <v>66</v>
      </c>
      <c r="AM62" s="92" t="s">
        <v>66</v>
      </c>
    </row>
    <row r="63" spans="1:39" x14ac:dyDescent="0.2">
      <c r="A63" t="s">
        <v>54</v>
      </c>
      <c r="B63" s="92" t="s">
        <v>64</v>
      </c>
      <c r="C63" s="92" t="s">
        <v>0</v>
      </c>
      <c r="D63" s="92" t="s">
        <v>444</v>
      </c>
      <c r="E63" s="93">
        <v>1000</v>
      </c>
      <c r="F63" s="93">
        <v>0</v>
      </c>
      <c r="G63" s="93">
        <v>261126.6</v>
      </c>
      <c r="H63" s="92" t="s">
        <v>65</v>
      </c>
      <c r="I63" s="92" t="s">
        <v>90</v>
      </c>
      <c r="J63" s="92" t="s">
        <v>91</v>
      </c>
      <c r="K63" s="92" t="s">
        <v>92</v>
      </c>
      <c r="L63" s="92" t="s">
        <v>406</v>
      </c>
      <c r="M63" s="92" t="s">
        <v>82</v>
      </c>
      <c r="N63" s="92" t="s">
        <v>412</v>
      </c>
      <c r="O63" s="92" t="s">
        <v>445</v>
      </c>
      <c r="P63" s="92" t="s">
        <v>66</v>
      </c>
      <c r="Q63" s="92" t="s">
        <v>69</v>
      </c>
      <c r="R63" s="92" t="s">
        <v>66</v>
      </c>
      <c r="S63" s="92" t="s">
        <v>66</v>
      </c>
      <c r="T63" s="92" t="s">
        <v>66</v>
      </c>
      <c r="U63" s="92" t="s">
        <v>66</v>
      </c>
      <c r="V63" s="92" t="s">
        <v>66</v>
      </c>
      <c r="W63" s="92" t="s">
        <v>66</v>
      </c>
      <c r="X63" s="92" t="s">
        <v>66</v>
      </c>
      <c r="Y63" s="92" t="s">
        <v>66</v>
      </c>
      <c r="Z63" s="92" t="s">
        <v>66</v>
      </c>
      <c r="AA63" s="92" t="s">
        <v>66</v>
      </c>
      <c r="AB63" s="92" t="s">
        <v>66</v>
      </c>
      <c r="AC63" s="92" t="s">
        <v>66</v>
      </c>
      <c r="AD63" s="92" t="s">
        <v>66</v>
      </c>
      <c r="AE63" s="92" t="s">
        <v>66</v>
      </c>
      <c r="AF63" s="92" t="s">
        <v>66</v>
      </c>
      <c r="AG63" s="92" t="s">
        <v>66</v>
      </c>
      <c r="AH63" s="92" t="s">
        <v>66</v>
      </c>
      <c r="AI63" s="92" t="s">
        <v>66</v>
      </c>
      <c r="AJ63" s="92" t="s">
        <v>66</v>
      </c>
      <c r="AK63" s="92" t="s">
        <v>66</v>
      </c>
      <c r="AL63" s="92" t="s">
        <v>66</v>
      </c>
      <c r="AM63" s="92" t="s">
        <v>66</v>
      </c>
    </row>
    <row r="64" spans="1:39" x14ac:dyDescent="0.2">
      <c r="A64" t="s">
        <v>54</v>
      </c>
      <c r="B64" s="92" t="s">
        <v>64</v>
      </c>
      <c r="C64" s="92" t="s">
        <v>0</v>
      </c>
      <c r="D64" s="92" t="s">
        <v>444</v>
      </c>
      <c r="E64" s="93">
        <v>500</v>
      </c>
      <c r="F64" s="93">
        <v>0</v>
      </c>
      <c r="G64" s="93">
        <v>260626.6</v>
      </c>
      <c r="H64" s="92" t="s">
        <v>65</v>
      </c>
      <c r="I64" s="92" t="s">
        <v>436</v>
      </c>
      <c r="J64" s="92" t="s">
        <v>437</v>
      </c>
      <c r="K64" s="92" t="s">
        <v>97</v>
      </c>
      <c r="L64" s="92" t="s">
        <v>406</v>
      </c>
      <c r="M64" s="92" t="s">
        <v>82</v>
      </c>
      <c r="N64" s="92" t="s">
        <v>412</v>
      </c>
      <c r="O64" s="92" t="s">
        <v>446</v>
      </c>
      <c r="P64" s="92" t="s">
        <v>66</v>
      </c>
      <c r="Q64" s="92" t="s">
        <v>69</v>
      </c>
      <c r="R64" s="92" t="s">
        <v>66</v>
      </c>
      <c r="S64" s="92" t="s">
        <v>66</v>
      </c>
      <c r="T64" s="92" t="s">
        <v>66</v>
      </c>
      <c r="U64" s="92" t="s">
        <v>66</v>
      </c>
      <c r="V64" s="92" t="s">
        <v>66</v>
      </c>
      <c r="W64" s="92" t="s">
        <v>66</v>
      </c>
      <c r="X64" s="92" t="s">
        <v>66</v>
      </c>
      <c r="Y64" s="92" t="s">
        <v>66</v>
      </c>
      <c r="Z64" s="92" t="s">
        <v>66</v>
      </c>
      <c r="AA64" s="92" t="s">
        <v>66</v>
      </c>
      <c r="AB64" s="92" t="s">
        <v>66</v>
      </c>
      <c r="AC64" s="92" t="s">
        <v>66</v>
      </c>
      <c r="AD64" s="92" t="s">
        <v>66</v>
      </c>
      <c r="AE64" s="92" t="s">
        <v>66</v>
      </c>
      <c r="AF64" s="92" t="s">
        <v>66</v>
      </c>
      <c r="AG64" s="92" t="s">
        <v>66</v>
      </c>
      <c r="AH64" s="92" t="s">
        <v>66</v>
      </c>
      <c r="AI64" s="92" t="s">
        <v>66</v>
      </c>
      <c r="AJ64" s="92" t="s">
        <v>66</v>
      </c>
      <c r="AK64" s="92" t="s">
        <v>66</v>
      </c>
      <c r="AL64" s="92" t="s">
        <v>66</v>
      </c>
      <c r="AM64" s="92" t="s">
        <v>66</v>
      </c>
    </row>
    <row r="65" spans="1:39" x14ac:dyDescent="0.2">
      <c r="A65" t="s">
        <v>54</v>
      </c>
      <c r="B65" s="92" t="s">
        <v>64</v>
      </c>
      <c r="C65" s="92" t="s">
        <v>0</v>
      </c>
      <c r="D65" s="92" t="s">
        <v>444</v>
      </c>
      <c r="E65" s="93">
        <v>200</v>
      </c>
      <c r="F65" s="93">
        <v>0</v>
      </c>
      <c r="G65" s="93">
        <v>260426.6</v>
      </c>
      <c r="H65" s="92" t="s">
        <v>65</v>
      </c>
      <c r="I65" s="92" t="s">
        <v>95</v>
      </c>
      <c r="J65" s="92" t="s">
        <v>96</v>
      </c>
      <c r="K65" s="92" t="s">
        <v>97</v>
      </c>
      <c r="L65" s="92" t="s">
        <v>406</v>
      </c>
      <c r="M65" s="92" t="s">
        <v>82</v>
      </c>
      <c r="N65" s="92" t="s">
        <v>412</v>
      </c>
      <c r="O65" s="92" t="s">
        <v>447</v>
      </c>
      <c r="P65" s="92" t="s">
        <v>66</v>
      </c>
      <c r="Q65" s="92" t="s">
        <v>69</v>
      </c>
      <c r="R65" s="92" t="s">
        <v>66</v>
      </c>
      <c r="S65" s="92" t="s">
        <v>66</v>
      </c>
      <c r="T65" s="92" t="s">
        <v>66</v>
      </c>
      <c r="U65" s="92" t="s">
        <v>66</v>
      </c>
      <c r="V65" s="92" t="s">
        <v>66</v>
      </c>
      <c r="W65" s="92" t="s">
        <v>66</v>
      </c>
      <c r="X65" s="92" t="s">
        <v>66</v>
      </c>
      <c r="Y65" s="92" t="s">
        <v>66</v>
      </c>
      <c r="Z65" s="92" t="s">
        <v>66</v>
      </c>
      <c r="AA65" s="92" t="s">
        <v>66</v>
      </c>
      <c r="AB65" s="92" t="s">
        <v>66</v>
      </c>
      <c r="AC65" s="92" t="s">
        <v>66</v>
      </c>
      <c r="AD65" s="92" t="s">
        <v>66</v>
      </c>
      <c r="AE65" s="92" t="s">
        <v>66</v>
      </c>
      <c r="AF65" s="92" t="s">
        <v>66</v>
      </c>
      <c r="AG65" s="92" t="s">
        <v>66</v>
      </c>
      <c r="AH65" s="92" t="s">
        <v>66</v>
      </c>
      <c r="AI65" s="92" t="s">
        <v>66</v>
      </c>
      <c r="AJ65" s="92" t="s">
        <v>66</v>
      </c>
      <c r="AK65" s="92" t="s">
        <v>66</v>
      </c>
      <c r="AL65" s="92" t="s">
        <v>66</v>
      </c>
      <c r="AM65" s="92" t="s">
        <v>66</v>
      </c>
    </row>
    <row r="66" spans="1:39" x14ac:dyDescent="0.2">
      <c r="A66" t="s">
        <v>20</v>
      </c>
      <c r="B66" s="92" t="s">
        <v>64</v>
      </c>
      <c r="C66" s="92" t="s">
        <v>0</v>
      </c>
      <c r="D66" s="92" t="s">
        <v>448</v>
      </c>
      <c r="E66" s="93">
        <v>1549</v>
      </c>
      <c r="F66" s="93">
        <v>0</v>
      </c>
      <c r="G66" s="93">
        <v>258877.6</v>
      </c>
      <c r="H66" s="92" t="s">
        <v>65</v>
      </c>
      <c r="I66" s="92" t="s">
        <v>80</v>
      </c>
      <c r="J66" s="92" t="s">
        <v>449</v>
      </c>
      <c r="K66" s="92" t="s">
        <v>81</v>
      </c>
      <c r="L66" s="92" t="s">
        <v>450</v>
      </c>
      <c r="M66" s="92" t="s">
        <v>105</v>
      </c>
      <c r="N66" s="92" t="s">
        <v>106</v>
      </c>
      <c r="O66" s="92" t="s">
        <v>451</v>
      </c>
      <c r="P66" s="92" t="s">
        <v>66</v>
      </c>
      <c r="Q66" s="92" t="s">
        <v>84</v>
      </c>
      <c r="R66" s="92" t="s">
        <v>452</v>
      </c>
      <c r="S66" s="92" t="s">
        <v>66</v>
      </c>
      <c r="T66" s="92" t="s">
        <v>66</v>
      </c>
      <c r="U66" s="92" t="s">
        <v>66</v>
      </c>
      <c r="V66" s="92" t="s">
        <v>66</v>
      </c>
      <c r="W66" s="92" t="s">
        <v>66</v>
      </c>
      <c r="X66" s="92" t="s">
        <v>66</v>
      </c>
      <c r="Y66" s="92" t="s">
        <v>66</v>
      </c>
      <c r="Z66" s="92" t="s">
        <v>66</v>
      </c>
      <c r="AA66" s="92" t="s">
        <v>66</v>
      </c>
      <c r="AB66" s="92" t="s">
        <v>66</v>
      </c>
      <c r="AC66" s="92" t="s">
        <v>66</v>
      </c>
      <c r="AD66" s="92" t="s">
        <v>66</v>
      </c>
      <c r="AE66" s="92" t="s">
        <v>66</v>
      </c>
      <c r="AF66" s="92" t="s">
        <v>66</v>
      </c>
      <c r="AG66" s="92" t="s">
        <v>66</v>
      </c>
      <c r="AH66" s="92" t="s">
        <v>66</v>
      </c>
      <c r="AI66" s="92" t="s">
        <v>66</v>
      </c>
      <c r="AJ66" s="92" t="s">
        <v>66</v>
      </c>
      <c r="AK66" s="92" t="s">
        <v>66</v>
      </c>
      <c r="AL66" s="92" t="s">
        <v>66</v>
      </c>
      <c r="AM66" s="92" t="s">
        <v>66</v>
      </c>
    </row>
    <row r="67" spans="1:39" x14ac:dyDescent="0.2">
      <c r="A67" t="s">
        <v>167</v>
      </c>
      <c r="B67" s="92" t="s">
        <v>64</v>
      </c>
      <c r="C67" s="92" t="s">
        <v>0</v>
      </c>
      <c r="D67" s="92" t="s">
        <v>453</v>
      </c>
      <c r="E67" s="93">
        <v>0</v>
      </c>
      <c r="F67" s="93">
        <v>50000</v>
      </c>
      <c r="G67" s="93">
        <v>308877.59999999998</v>
      </c>
      <c r="H67" s="92" t="s">
        <v>65</v>
      </c>
      <c r="I67" s="92" t="s">
        <v>454</v>
      </c>
      <c r="J67" s="92" t="s">
        <v>455</v>
      </c>
      <c r="K67" s="92" t="s">
        <v>97</v>
      </c>
      <c r="L67" s="92" t="s">
        <v>450</v>
      </c>
      <c r="M67" s="92" t="s">
        <v>72</v>
      </c>
      <c r="N67" s="92" t="s">
        <v>456</v>
      </c>
      <c r="O67" s="92" t="s">
        <v>457</v>
      </c>
      <c r="P67" s="92" t="s">
        <v>66</v>
      </c>
      <c r="Q67" s="92" t="s">
        <v>73</v>
      </c>
      <c r="R67" s="92" t="s">
        <v>66</v>
      </c>
      <c r="S67" s="92" t="s">
        <v>66</v>
      </c>
      <c r="T67" s="92" t="s">
        <v>66</v>
      </c>
      <c r="U67" s="92" t="s">
        <v>66</v>
      </c>
      <c r="V67" s="92" t="s">
        <v>66</v>
      </c>
      <c r="W67" s="92" t="s">
        <v>66</v>
      </c>
      <c r="X67" s="92" t="s">
        <v>66</v>
      </c>
      <c r="Y67" s="92" t="s">
        <v>66</v>
      </c>
      <c r="Z67" s="92" t="s">
        <v>66</v>
      </c>
      <c r="AA67" s="92" t="s">
        <v>66</v>
      </c>
      <c r="AB67" s="92" t="s">
        <v>66</v>
      </c>
      <c r="AC67" s="92" t="s">
        <v>66</v>
      </c>
      <c r="AD67" s="92" t="s">
        <v>66</v>
      </c>
      <c r="AE67" s="92" t="s">
        <v>66</v>
      </c>
      <c r="AF67" s="92" t="s">
        <v>66</v>
      </c>
      <c r="AG67" s="92" t="s">
        <v>66</v>
      </c>
      <c r="AH67" s="92" t="s">
        <v>66</v>
      </c>
      <c r="AI67" s="92" t="s">
        <v>66</v>
      </c>
      <c r="AJ67" s="92" t="s">
        <v>66</v>
      </c>
      <c r="AK67" s="92" t="s">
        <v>66</v>
      </c>
      <c r="AL67" s="92" t="s">
        <v>66</v>
      </c>
      <c r="AM67" s="92" t="s">
        <v>66</v>
      </c>
    </row>
    <row r="68" spans="1:39" x14ac:dyDescent="0.2">
      <c r="A68" t="s">
        <v>20</v>
      </c>
      <c r="B68" s="92" t="s">
        <v>64</v>
      </c>
      <c r="C68" s="92" t="s">
        <v>0</v>
      </c>
      <c r="D68" s="92" t="s">
        <v>458</v>
      </c>
      <c r="E68" s="93">
        <v>3934.33</v>
      </c>
      <c r="F68" s="93">
        <v>0</v>
      </c>
      <c r="G68" s="93">
        <v>304943.27</v>
      </c>
      <c r="H68" s="92" t="s">
        <v>65</v>
      </c>
      <c r="I68" s="92" t="s">
        <v>0</v>
      </c>
      <c r="J68" s="92" t="s">
        <v>111</v>
      </c>
      <c r="K68" s="92" t="s">
        <v>112</v>
      </c>
      <c r="L68" s="92" t="s">
        <v>459</v>
      </c>
      <c r="M68" s="92" t="s">
        <v>113</v>
      </c>
      <c r="N68" s="92" t="s">
        <v>114</v>
      </c>
      <c r="O68" s="92" t="s">
        <v>460</v>
      </c>
      <c r="P68" s="92" t="s">
        <v>66</v>
      </c>
      <c r="Q68" s="92" t="s">
        <v>84</v>
      </c>
      <c r="R68" s="92" t="s">
        <v>66</v>
      </c>
      <c r="S68" s="92" t="s">
        <v>66</v>
      </c>
      <c r="T68" s="92" t="s">
        <v>66</v>
      </c>
      <c r="U68" s="92" t="s">
        <v>66</v>
      </c>
      <c r="V68" s="92" t="s">
        <v>66</v>
      </c>
      <c r="W68" s="92" t="s">
        <v>66</v>
      </c>
      <c r="X68" s="92" t="s">
        <v>66</v>
      </c>
      <c r="Y68" s="92" t="s">
        <v>66</v>
      </c>
      <c r="Z68" s="92" t="s">
        <v>66</v>
      </c>
      <c r="AA68" s="92" t="s">
        <v>66</v>
      </c>
      <c r="AB68" s="92" t="s">
        <v>66</v>
      </c>
      <c r="AC68" s="92" t="s">
        <v>66</v>
      </c>
      <c r="AD68" s="92" t="s">
        <v>66</v>
      </c>
      <c r="AE68" s="92" t="s">
        <v>66</v>
      </c>
      <c r="AF68" s="92" t="s">
        <v>66</v>
      </c>
      <c r="AG68" s="92" t="s">
        <v>66</v>
      </c>
      <c r="AH68" s="92" t="s">
        <v>66</v>
      </c>
      <c r="AI68" s="92" t="s">
        <v>66</v>
      </c>
      <c r="AJ68" s="92" t="s">
        <v>66</v>
      </c>
      <c r="AK68" s="92" t="s">
        <v>66</v>
      </c>
      <c r="AL68" s="92" t="s">
        <v>66</v>
      </c>
      <c r="AM68" s="92" t="s">
        <v>66</v>
      </c>
    </row>
    <row r="69" spans="1:39" x14ac:dyDescent="0.2">
      <c r="A69" t="s">
        <v>20</v>
      </c>
      <c r="B69" s="92" t="s">
        <v>64</v>
      </c>
      <c r="C69" s="92" t="s">
        <v>0</v>
      </c>
      <c r="D69" s="92" t="s">
        <v>461</v>
      </c>
      <c r="E69" s="93">
        <v>1482.21</v>
      </c>
      <c r="F69" s="93">
        <v>0</v>
      </c>
      <c r="G69" s="93">
        <v>303461.06</v>
      </c>
      <c r="H69" s="92" t="s">
        <v>65</v>
      </c>
      <c r="I69" s="92" t="s">
        <v>0</v>
      </c>
      <c r="J69" s="92" t="s">
        <v>160</v>
      </c>
      <c r="K69" s="92" t="s">
        <v>112</v>
      </c>
      <c r="L69" s="92" t="s">
        <v>459</v>
      </c>
      <c r="M69" s="92" t="s">
        <v>113</v>
      </c>
      <c r="N69" s="92" t="s">
        <v>161</v>
      </c>
      <c r="O69" s="92" t="s">
        <v>462</v>
      </c>
      <c r="P69" s="92" t="s">
        <v>66</v>
      </c>
      <c r="Q69" s="92" t="s">
        <v>84</v>
      </c>
      <c r="R69" s="92" t="s">
        <v>66</v>
      </c>
      <c r="S69" s="92" t="s">
        <v>66</v>
      </c>
      <c r="T69" s="92" t="s">
        <v>66</v>
      </c>
      <c r="U69" s="92" t="s">
        <v>66</v>
      </c>
      <c r="V69" s="92" t="s">
        <v>66</v>
      </c>
      <c r="W69" s="92" t="s">
        <v>66</v>
      </c>
      <c r="X69" s="92" t="s">
        <v>66</v>
      </c>
      <c r="Y69" s="92" t="s">
        <v>66</v>
      </c>
      <c r="Z69" s="92" t="s">
        <v>66</v>
      </c>
      <c r="AA69" s="92" t="s">
        <v>66</v>
      </c>
      <c r="AB69" s="92" t="s">
        <v>66</v>
      </c>
      <c r="AC69" s="92" t="s">
        <v>66</v>
      </c>
      <c r="AD69" s="92" t="s">
        <v>66</v>
      </c>
      <c r="AE69" s="92" t="s">
        <v>66</v>
      </c>
      <c r="AF69" s="92" t="s">
        <v>66</v>
      </c>
      <c r="AG69" s="92" t="s">
        <v>66</v>
      </c>
      <c r="AH69" s="92" t="s">
        <v>66</v>
      </c>
      <c r="AI69" s="92" t="s">
        <v>66</v>
      </c>
      <c r="AJ69" s="92" t="s">
        <v>66</v>
      </c>
      <c r="AK69" s="92" t="s">
        <v>66</v>
      </c>
      <c r="AL69" s="92" t="s">
        <v>66</v>
      </c>
      <c r="AM69" s="92" t="s">
        <v>66</v>
      </c>
    </row>
    <row r="70" spans="1:39" x14ac:dyDescent="0.2">
      <c r="A70" t="s">
        <v>20</v>
      </c>
      <c r="B70" s="92" t="s">
        <v>64</v>
      </c>
      <c r="C70" s="92" t="s">
        <v>0</v>
      </c>
      <c r="D70" s="92" t="s">
        <v>463</v>
      </c>
      <c r="E70" s="93">
        <v>122</v>
      </c>
      <c r="F70" s="93">
        <v>0</v>
      </c>
      <c r="G70" s="93">
        <v>303339.06</v>
      </c>
      <c r="H70" s="92" t="s">
        <v>65</v>
      </c>
      <c r="I70" s="92" t="s">
        <v>66</v>
      </c>
      <c r="J70" s="92" t="s">
        <v>66</v>
      </c>
      <c r="K70" s="92" t="s">
        <v>66</v>
      </c>
      <c r="L70" s="92" t="s">
        <v>464</v>
      </c>
      <c r="M70" s="92" t="s">
        <v>102</v>
      </c>
      <c r="N70" s="92" t="s">
        <v>115</v>
      </c>
      <c r="O70" s="92" t="s">
        <v>465</v>
      </c>
      <c r="P70" s="92" t="s">
        <v>66</v>
      </c>
      <c r="Q70" s="92" t="s">
        <v>84</v>
      </c>
      <c r="R70" s="92" t="s">
        <v>66</v>
      </c>
      <c r="S70" s="92" t="s">
        <v>66</v>
      </c>
      <c r="T70" s="92" t="s">
        <v>66</v>
      </c>
      <c r="U70" s="92" t="s">
        <v>66</v>
      </c>
      <c r="V70" s="92" t="s">
        <v>66</v>
      </c>
      <c r="W70" s="92" t="s">
        <v>66</v>
      </c>
      <c r="X70" s="92" t="s">
        <v>66</v>
      </c>
      <c r="Y70" s="92" t="s">
        <v>66</v>
      </c>
      <c r="Z70" s="92" t="s">
        <v>66</v>
      </c>
      <c r="AA70" s="92" t="s">
        <v>66</v>
      </c>
      <c r="AB70" s="92" t="s">
        <v>66</v>
      </c>
      <c r="AC70" s="92" t="s">
        <v>66</v>
      </c>
      <c r="AD70" s="92" t="s">
        <v>66</v>
      </c>
      <c r="AE70" s="92" t="s">
        <v>66</v>
      </c>
      <c r="AF70" s="92" t="s">
        <v>66</v>
      </c>
      <c r="AG70" s="92" t="s">
        <v>66</v>
      </c>
      <c r="AH70" s="92" t="s">
        <v>66</v>
      </c>
      <c r="AI70" s="92" t="s">
        <v>66</v>
      </c>
      <c r="AJ70" s="92" t="s">
        <v>66</v>
      </c>
      <c r="AK70" s="92" t="s">
        <v>66</v>
      </c>
      <c r="AL70" s="92" t="s">
        <v>66</v>
      </c>
      <c r="AM70" s="92" t="s">
        <v>66</v>
      </c>
    </row>
    <row r="71" spans="1:39" x14ac:dyDescent="0.2">
      <c r="A71" t="s">
        <v>20</v>
      </c>
      <c r="B71" s="92" t="s">
        <v>64</v>
      </c>
      <c r="C71" s="92" t="s">
        <v>0</v>
      </c>
      <c r="D71" s="92" t="s">
        <v>466</v>
      </c>
      <c r="E71" s="93">
        <v>1</v>
      </c>
      <c r="F71" s="93">
        <v>0</v>
      </c>
      <c r="G71" s="93">
        <v>303338.06</v>
      </c>
      <c r="H71" s="92" t="s">
        <v>65</v>
      </c>
      <c r="I71" s="92" t="s">
        <v>66</v>
      </c>
      <c r="J71" s="92" t="s">
        <v>66</v>
      </c>
      <c r="K71" s="92" t="s">
        <v>66</v>
      </c>
      <c r="L71" s="92" t="s">
        <v>254</v>
      </c>
      <c r="M71" s="92" t="s">
        <v>67</v>
      </c>
      <c r="N71" s="92" t="s">
        <v>68</v>
      </c>
      <c r="O71" s="92" t="s">
        <v>467</v>
      </c>
      <c r="P71" s="92" t="s">
        <v>66</v>
      </c>
      <c r="Q71" s="92" t="s">
        <v>69</v>
      </c>
      <c r="R71" s="92" t="s">
        <v>468</v>
      </c>
      <c r="S71" s="92" t="s">
        <v>66</v>
      </c>
      <c r="T71" s="92" t="s">
        <v>66</v>
      </c>
      <c r="U71" s="92" t="s">
        <v>66</v>
      </c>
      <c r="V71" s="92" t="s">
        <v>66</v>
      </c>
      <c r="W71" s="92" t="s">
        <v>66</v>
      </c>
      <c r="X71" s="92" t="s">
        <v>66</v>
      </c>
      <c r="Y71" s="92" t="s">
        <v>66</v>
      </c>
      <c r="Z71" s="92" t="s">
        <v>66</v>
      </c>
      <c r="AA71" s="92" t="s">
        <v>66</v>
      </c>
      <c r="AB71" s="92" t="s">
        <v>66</v>
      </c>
      <c r="AC71" s="92" t="s">
        <v>66</v>
      </c>
      <c r="AD71" s="92" t="s">
        <v>66</v>
      </c>
      <c r="AE71" s="92" t="s">
        <v>66</v>
      </c>
      <c r="AF71" s="92" t="s">
        <v>66</v>
      </c>
      <c r="AG71" s="92" t="s">
        <v>66</v>
      </c>
      <c r="AH71" s="92" t="s">
        <v>66</v>
      </c>
      <c r="AI71" s="92" t="s">
        <v>66</v>
      </c>
      <c r="AJ71" s="92" t="s">
        <v>66</v>
      </c>
      <c r="AK71" s="92" t="s">
        <v>66</v>
      </c>
      <c r="AL71" s="92" t="s">
        <v>66</v>
      </c>
      <c r="AM71" s="92" t="s">
        <v>66</v>
      </c>
    </row>
    <row r="72" spans="1:39" x14ac:dyDescent="0.2">
      <c r="A72" t="s">
        <v>59</v>
      </c>
      <c r="B72" s="92" t="s">
        <v>64</v>
      </c>
      <c r="C72" s="92" t="s">
        <v>0</v>
      </c>
      <c r="D72" s="92" t="s">
        <v>466</v>
      </c>
      <c r="E72" s="93">
        <v>6000</v>
      </c>
      <c r="F72" s="93">
        <v>0</v>
      </c>
      <c r="G72" s="93">
        <v>297338.06</v>
      </c>
      <c r="H72" s="92" t="s">
        <v>65</v>
      </c>
      <c r="I72" s="92" t="s">
        <v>0</v>
      </c>
      <c r="J72" s="92" t="s">
        <v>103</v>
      </c>
      <c r="K72" s="92" t="s">
        <v>104</v>
      </c>
      <c r="L72" s="92" t="s">
        <v>254</v>
      </c>
      <c r="M72" s="92" t="s">
        <v>70</v>
      </c>
      <c r="N72" s="92" t="s">
        <v>1</v>
      </c>
      <c r="O72" s="92" t="s">
        <v>469</v>
      </c>
      <c r="P72" s="92" t="s">
        <v>66</v>
      </c>
      <c r="Q72" s="92" t="s">
        <v>69</v>
      </c>
      <c r="R72" s="92" t="s">
        <v>468</v>
      </c>
      <c r="S72" s="92" t="s">
        <v>66</v>
      </c>
      <c r="T72" s="92" t="s">
        <v>66</v>
      </c>
      <c r="U72" s="92" t="s">
        <v>66</v>
      </c>
      <c r="V72" s="92" t="s">
        <v>66</v>
      </c>
      <c r="W72" s="92" t="s">
        <v>66</v>
      </c>
      <c r="X72" s="92" t="s">
        <v>66</v>
      </c>
      <c r="Y72" s="92" t="s">
        <v>66</v>
      </c>
      <c r="Z72" s="92" t="s">
        <v>66</v>
      </c>
      <c r="AA72" s="92" t="s">
        <v>66</v>
      </c>
      <c r="AB72" s="92" t="s">
        <v>66</v>
      </c>
      <c r="AC72" s="92" t="s">
        <v>66</v>
      </c>
      <c r="AD72" s="92" t="s">
        <v>66</v>
      </c>
      <c r="AE72" s="92" t="s">
        <v>66</v>
      </c>
      <c r="AF72" s="92" t="s">
        <v>66</v>
      </c>
      <c r="AG72" s="92" t="s">
        <v>66</v>
      </c>
      <c r="AH72" s="92" t="s">
        <v>66</v>
      </c>
      <c r="AI72" s="92" t="s">
        <v>66</v>
      </c>
      <c r="AJ72" s="92" t="s">
        <v>66</v>
      </c>
      <c r="AK72" s="92" t="s">
        <v>66</v>
      </c>
      <c r="AL72" s="92" t="s">
        <v>66</v>
      </c>
      <c r="AM72" s="92" t="s">
        <v>66</v>
      </c>
    </row>
    <row r="73" spans="1:39" s="3" customFormat="1" x14ac:dyDescent="0.2">
      <c r="E73" s="9"/>
      <c r="F73" s="9"/>
      <c r="G73" s="9"/>
    </row>
    <row r="75" spans="1:39" s="3" customFormat="1" x14ac:dyDescent="0.2"/>
    <row r="76" spans="1:39" s="25" customFormat="1" x14ac:dyDescent="0.2">
      <c r="B76" s="25" t="s">
        <v>56</v>
      </c>
      <c r="E76" s="26">
        <f>SUM(E1:E75)</f>
        <v>3212796.3399999994</v>
      </c>
      <c r="F76" s="27">
        <f>SUM(F1:F75)</f>
        <v>3386056.44</v>
      </c>
    </row>
    <row r="77" spans="1:39" s="16" customFormat="1" x14ac:dyDescent="0.2">
      <c r="C77" s="17"/>
      <c r="D77" s="18"/>
    </row>
    <row r="78" spans="1:39" x14ac:dyDescent="0.2">
      <c r="A78" t="s">
        <v>4</v>
      </c>
      <c r="C78" s="7">
        <f>SUMIF(A1:A75,A78,E1:E75)</f>
        <v>0</v>
      </c>
      <c r="E78" s="7"/>
    </row>
    <row r="79" spans="1:39" x14ac:dyDescent="0.2">
      <c r="A79" t="s">
        <v>6</v>
      </c>
      <c r="C79" s="7">
        <f>SUMIF(A1:A75,A79,E1:E75)</f>
        <v>0</v>
      </c>
      <c r="E79" s="7"/>
    </row>
    <row r="80" spans="1:39" x14ac:dyDescent="0.2">
      <c r="A80" t="s">
        <v>20</v>
      </c>
      <c r="C80" s="7">
        <f>SUMIF(A1:A75,A80,E1:E75)</f>
        <v>12830.54</v>
      </c>
      <c r="E80" s="7"/>
    </row>
    <row r="81" spans="1:5" x14ac:dyDescent="0.2">
      <c r="A81" t="s">
        <v>25</v>
      </c>
      <c r="C81" s="7">
        <f>SUMIF(A1:A75,A81,E1:E601)</f>
        <v>2500</v>
      </c>
      <c r="E81" s="7"/>
    </row>
    <row r="82" spans="1:5" x14ac:dyDescent="0.2">
      <c r="A82" t="s">
        <v>54</v>
      </c>
      <c r="C82" s="7">
        <f>SUMIF(A1:A75,A82,E1:E75)</f>
        <v>184597.25000000006</v>
      </c>
      <c r="E82" s="7"/>
    </row>
    <row r="83" spans="1:5" x14ac:dyDescent="0.2">
      <c r="A83" t="s">
        <v>51</v>
      </c>
      <c r="C83" s="7">
        <f>SUMIF(A1:A75,A83,E1:E75)</f>
        <v>6868.55</v>
      </c>
      <c r="E83" s="7"/>
    </row>
    <row r="84" spans="1:5" x14ac:dyDescent="0.2">
      <c r="A84" t="s">
        <v>49</v>
      </c>
      <c r="C84" s="7">
        <f>SUMIF(A1:A75,A84,E1:E75)</f>
        <v>0</v>
      </c>
      <c r="E84" s="7"/>
    </row>
    <row r="85" spans="1:5" x14ac:dyDescent="0.2">
      <c r="A85" t="s">
        <v>59</v>
      </c>
      <c r="C85" s="7">
        <f>SUMIF(A1:A75,A85,E1:E75)</f>
        <v>3006000</v>
      </c>
      <c r="E85" s="7"/>
    </row>
    <row r="87" spans="1:5" s="19" customFormat="1" x14ac:dyDescent="0.2">
      <c r="B87" s="19" t="s">
        <v>56</v>
      </c>
      <c r="C87" s="20">
        <f>SUM(SUM(C78:C86))</f>
        <v>3212796.34</v>
      </c>
      <c r="D87" s="21"/>
    </row>
    <row r="88" spans="1:5" x14ac:dyDescent="0.2">
      <c r="C88" s="7">
        <f>E76-C87</f>
        <v>0</v>
      </c>
    </row>
    <row r="90" spans="1:5" x14ac:dyDescent="0.2">
      <c r="A90" t="s">
        <v>46</v>
      </c>
      <c r="C90" s="7">
        <f>SUMIF(A1:A75,A90,F1:F75)</f>
        <v>241458.55</v>
      </c>
    </row>
    <row r="91" spans="1:5" x14ac:dyDescent="0.2">
      <c r="A91" t="s">
        <v>47</v>
      </c>
      <c r="C91" s="7">
        <f>SUMIF(A1:A75,A91,F1:F75)</f>
        <v>0</v>
      </c>
    </row>
    <row r="92" spans="1:5" x14ac:dyDescent="0.2">
      <c r="A92" t="s">
        <v>48</v>
      </c>
      <c r="C92" s="7">
        <f>SUMIF(A1:A75,A92,F1:F75)</f>
        <v>0</v>
      </c>
    </row>
    <row r="93" spans="1:5" x14ac:dyDescent="0.2">
      <c r="A93" t="s">
        <v>53</v>
      </c>
      <c r="C93" s="7">
        <f>SUMIF(A1:A75,A93,F1:F75)</f>
        <v>2960000.48</v>
      </c>
    </row>
    <row r="94" spans="1:5" x14ac:dyDescent="0.2">
      <c r="A94" t="s">
        <v>163</v>
      </c>
      <c r="C94" s="7">
        <f>SUMIF(A1:A75,A94,F1:F75)</f>
        <v>0</v>
      </c>
    </row>
    <row r="95" spans="1:5" x14ac:dyDescent="0.2">
      <c r="A95" t="s">
        <v>57</v>
      </c>
      <c r="C95" s="7">
        <f>SUMIF(A1:A75,A95,F1:F75)</f>
        <v>184597.41</v>
      </c>
    </row>
    <row r="96" spans="1:5" s="19" customFormat="1" x14ac:dyDescent="0.2">
      <c r="B96" s="19" t="s">
        <v>56</v>
      </c>
      <c r="C96" s="20">
        <f>SUM(C90:C95)</f>
        <v>3386056.44</v>
      </c>
      <c r="D96" s="21"/>
    </row>
    <row r="97" spans="2:39" x14ac:dyDescent="0.2">
      <c r="C97" s="7">
        <f>C96-F76</f>
        <v>0</v>
      </c>
      <c r="E97" s="4"/>
    </row>
    <row r="99" spans="2:39" s="3" customFormat="1" ht="13.5" customHeight="1" x14ac:dyDescent="0.2">
      <c r="B99" s="36"/>
      <c r="C99" s="36"/>
      <c r="D99" s="36"/>
      <c r="E99" s="9"/>
      <c r="F99" s="9"/>
      <c r="G99" s="9"/>
      <c r="H99" s="9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</row>
    <row r="100" spans="2:39" x14ac:dyDescent="0.2">
      <c r="C100"/>
      <c r="D100" s="7"/>
      <c r="E100" s="4"/>
    </row>
  </sheetData>
  <autoFilter ref="A1:A100"/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字段!$B$4:$B$22</xm:f>
          </x14:formula1>
          <xm:sqref>B1 B99:B100 B75 A1:A1048576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workbookViewId="0">
      <pane ySplit="1" topLeftCell="A14" activePane="bottomLeft" state="frozen"/>
      <selection pane="bottomLeft" activeCell="G45" sqref="G45"/>
    </sheetView>
  </sheetViews>
  <sheetFormatPr defaultRowHeight="14.25" x14ac:dyDescent="0.2"/>
  <cols>
    <col min="1" max="1" width="15.125" bestFit="1" customWidth="1"/>
    <col min="2" max="2" width="11.625" bestFit="1" customWidth="1"/>
    <col min="3" max="3" width="12.75" bestFit="1" customWidth="1"/>
    <col min="4" max="4" width="13.5" style="7" bestFit="1" customWidth="1"/>
    <col min="5" max="5" width="12.875" style="7" bestFit="1" customWidth="1"/>
    <col min="6" max="6" width="12.375" bestFit="1" customWidth="1"/>
    <col min="7" max="7" width="42.75" bestFit="1" customWidth="1"/>
    <col min="8" max="8" width="24.375" bestFit="1" customWidth="1"/>
    <col min="9" max="9" width="28.25" bestFit="1" customWidth="1"/>
    <col min="10" max="10" width="38" bestFit="1" customWidth="1"/>
    <col min="11" max="11" width="7.125" bestFit="1" customWidth="1"/>
    <col min="12" max="12" width="13.75" bestFit="1" customWidth="1"/>
  </cols>
  <sheetData>
    <row r="1" spans="1:12" s="28" customFormat="1" ht="24" customHeight="1" x14ac:dyDescent="0.2">
      <c r="B1" s="29" t="s">
        <v>9</v>
      </c>
      <c r="C1" s="29" t="s">
        <v>10</v>
      </c>
      <c r="D1" s="30" t="s">
        <v>11</v>
      </c>
      <c r="E1" s="34" t="s">
        <v>12</v>
      </c>
      <c r="F1" s="29" t="s">
        <v>13</v>
      </c>
      <c r="G1" s="29" t="s">
        <v>14</v>
      </c>
      <c r="H1" s="29" t="s">
        <v>15</v>
      </c>
      <c r="I1" s="29" t="s">
        <v>16</v>
      </c>
      <c r="J1" s="29" t="s">
        <v>17</v>
      </c>
      <c r="K1" s="29" t="s">
        <v>18</v>
      </c>
      <c r="L1" s="29" t="s">
        <v>19</v>
      </c>
    </row>
    <row r="2" spans="1:12" x14ac:dyDescent="0.2">
      <c r="A2" s="3"/>
      <c r="B2" s="5"/>
      <c r="C2" s="6"/>
    </row>
    <row r="3" spans="1:12" s="3" customFormat="1" ht="15" x14ac:dyDescent="0.2">
      <c r="B3" s="72" t="s">
        <v>9</v>
      </c>
      <c r="C3" s="72" t="s">
        <v>10</v>
      </c>
      <c r="D3" s="73" t="s">
        <v>11</v>
      </c>
      <c r="E3" s="72" t="s">
        <v>12</v>
      </c>
      <c r="F3" s="72" t="s">
        <v>13</v>
      </c>
      <c r="G3" s="72" t="s">
        <v>14</v>
      </c>
      <c r="H3" s="72" t="s">
        <v>15</v>
      </c>
      <c r="I3" s="72" t="s">
        <v>16</v>
      </c>
      <c r="J3" s="71" t="s">
        <v>17</v>
      </c>
      <c r="K3" s="72" t="s">
        <v>18</v>
      </c>
      <c r="L3" s="72" t="s">
        <v>19</v>
      </c>
    </row>
    <row r="4" spans="1:12" s="3" customFormat="1" x14ac:dyDescent="0.2">
      <c r="B4" s="1"/>
      <c r="C4" s="1"/>
      <c r="D4" s="12"/>
      <c r="E4" s="2"/>
      <c r="F4" s="2"/>
      <c r="G4" s="1"/>
      <c r="H4" s="1"/>
      <c r="I4" s="1"/>
      <c r="J4" s="1"/>
    </row>
    <row r="5" spans="1:12" x14ac:dyDescent="0.15">
      <c r="A5" t="s">
        <v>57</v>
      </c>
      <c r="B5" s="95" t="s">
        <v>470</v>
      </c>
      <c r="C5" s="95" t="s">
        <v>471</v>
      </c>
      <c r="D5" s="96"/>
      <c r="E5" s="97">
        <v>500000</v>
      </c>
      <c r="F5" s="97" t="s">
        <v>472</v>
      </c>
      <c r="G5" s="95" t="s">
        <v>0</v>
      </c>
      <c r="H5" s="95" t="s">
        <v>64</v>
      </c>
      <c r="I5" s="95" t="s">
        <v>1</v>
      </c>
      <c r="J5" s="95" t="s">
        <v>2</v>
      </c>
      <c r="K5" s="94" t="s">
        <v>473</v>
      </c>
      <c r="L5" s="94" t="s">
        <v>474</v>
      </c>
    </row>
    <row r="6" spans="1:12" s="3" customFormat="1" ht="15" x14ac:dyDescent="0.2">
      <c r="A6" s="3" t="s">
        <v>57</v>
      </c>
      <c r="B6" s="95" t="s">
        <v>470</v>
      </c>
      <c r="C6" s="95" t="s">
        <v>475</v>
      </c>
      <c r="D6" s="96"/>
      <c r="E6" s="97">
        <v>500000</v>
      </c>
      <c r="F6" s="97" t="s">
        <v>476</v>
      </c>
      <c r="G6" s="95" t="s">
        <v>0</v>
      </c>
      <c r="H6" s="95" t="s">
        <v>64</v>
      </c>
      <c r="I6" s="95" t="s">
        <v>1</v>
      </c>
      <c r="J6" s="95" t="s">
        <v>2</v>
      </c>
      <c r="K6" s="94" t="s">
        <v>473</v>
      </c>
      <c r="L6" s="94" t="s">
        <v>477</v>
      </c>
    </row>
    <row r="7" spans="1:12" s="3" customFormat="1" ht="15" x14ac:dyDescent="0.2">
      <c r="A7" s="3" t="s">
        <v>57</v>
      </c>
      <c r="B7" s="95" t="s">
        <v>478</v>
      </c>
      <c r="C7" s="95" t="s">
        <v>479</v>
      </c>
      <c r="D7" s="96"/>
      <c r="E7" s="97">
        <v>500000</v>
      </c>
      <c r="F7" s="97" t="s">
        <v>480</v>
      </c>
      <c r="G7" s="95" t="s">
        <v>0</v>
      </c>
      <c r="H7" s="95" t="s">
        <v>64</v>
      </c>
      <c r="I7" s="95" t="s">
        <v>1</v>
      </c>
      <c r="J7" s="95" t="s">
        <v>2</v>
      </c>
      <c r="K7" s="94" t="s">
        <v>473</v>
      </c>
      <c r="L7" s="94" t="s">
        <v>481</v>
      </c>
    </row>
    <row r="8" spans="1:12" s="3" customFormat="1" ht="15" x14ac:dyDescent="0.2">
      <c r="A8" s="3" t="s">
        <v>57</v>
      </c>
      <c r="B8" s="95" t="s">
        <v>478</v>
      </c>
      <c r="C8" s="95" t="s">
        <v>482</v>
      </c>
      <c r="D8" s="96"/>
      <c r="E8" s="97">
        <v>500000</v>
      </c>
      <c r="F8" s="97" t="s">
        <v>483</v>
      </c>
      <c r="G8" s="95" t="s">
        <v>0</v>
      </c>
      <c r="H8" s="95" t="s">
        <v>64</v>
      </c>
      <c r="I8" s="95" t="s">
        <v>1</v>
      </c>
      <c r="J8" s="95" t="s">
        <v>2</v>
      </c>
      <c r="K8" s="94" t="s">
        <v>473</v>
      </c>
      <c r="L8" s="94" t="s">
        <v>484</v>
      </c>
    </row>
    <row r="9" spans="1:12" s="3" customFormat="1" ht="15" x14ac:dyDescent="0.2">
      <c r="A9" s="3" t="s">
        <v>57</v>
      </c>
      <c r="B9" s="95" t="s">
        <v>485</v>
      </c>
      <c r="C9" s="95" t="s">
        <v>486</v>
      </c>
      <c r="D9" s="96"/>
      <c r="E9" s="97">
        <v>300000</v>
      </c>
      <c r="F9" s="97" t="s">
        <v>487</v>
      </c>
      <c r="G9" s="95" t="s">
        <v>0</v>
      </c>
      <c r="H9" s="95" t="s">
        <v>64</v>
      </c>
      <c r="I9" s="95" t="s">
        <v>1</v>
      </c>
      <c r="J9" s="95" t="s">
        <v>2</v>
      </c>
      <c r="K9" s="94" t="s">
        <v>473</v>
      </c>
      <c r="L9" s="94" t="s">
        <v>488</v>
      </c>
    </row>
    <row r="10" spans="1:12" s="3" customFormat="1" ht="15" x14ac:dyDescent="0.2">
      <c r="A10" s="3" t="s">
        <v>57</v>
      </c>
      <c r="B10" s="95" t="s">
        <v>485</v>
      </c>
      <c r="C10" s="95" t="s">
        <v>489</v>
      </c>
      <c r="D10" s="96"/>
      <c r="E10" s="97">
        <v>400000</v>
      </c>
      <c r="F10" s="97" t="s">
        <v>490</v>
      </c>
      <c r="G10" s="95" t="s">
        <v>0</v>
      </c>
      <c r="H10" s="95" t="s">
        <v>64</v>
      </c>
      <c r="I10" s="95" t="s">
        <v>1</v>
      </c>
      <c r="J10" s="95" t="s">
        <v>2</v>
      </c>
      <c r="K10" s="94" t="s">
        <v>473</v>
      </c>
      <c r="L10" s="94" t="s">
        <v>491</v>
      </c>
    </row>
    <row r="11" spans="1:12" x14ac:dyDescent="0.15">
      <c r="A11" t="s">
        <v>57</v>
      </c>
      <c r="B11" s="95" t="s">
        <v>485</v>
      </c>
      <c r="C11" s="95" t="s">
        <v>492</v>
      </c>
      <c r="D11" s="96"/>
      <c r="E11" s="97">
        <v>300000</v>
      </c>
      <c r="F11" s="97" t="s">
        <v>493</v>
      </c>
      <c r="G11" s="95" t="s">
        <v>0</v>
      </c>
      <c r="H11" s="95" t="s">
        <v>64</v>
      </c>
      <c r="I11" s="95" t="s">
        <v>1</v>
      </c>
      <c r="J11" s="95" t="s">
        <v>2</v>
      </c>
      <c r="K11" s="94" t="s">
        <v>473</v>
      </c>
      <c r="L11" s="94" t="s">
        <v>494</v>
      </c>
    </row>
    <row r="12" spans="1:12" x14ac:dyDescent="0.15">
      <c r="A12" t="s">
        <v>51</v>
      </c>
      <c r="B12" s="95" t="s">
        <v>495</v>
      </c>
      <c r="C12" s="95" t="s">
        <v>496</v>
      </c>
      <c r="D12" s="96">
        <v>3015208.33</v>
      </c>
      <c r="E12" s="97"/>
      <c r="F12" s="97" t="s">
        <v>497</v>
      </c>
      <c r="G12" s="95" t="s">
        <v>0</v>
      </c>
      <c r="H12" s="95" t="s">
        <v>498</v>
      </c>
      <c r="I12" s="95" t="s">
        <v>499</v>
      </c>
      <c r="J12" s="95" t="s">
        <v>66</v>
      </c>
      <c r="K12" s="94" t="s">
        <v>66</v>
      </c>
      <c r="L12" s="94" t="s">
        <v>500</v>
      </c>
    </row>
    <row r="13" spans="1:12" x14ac:dyDescent="0.15">
      <c r="A13" t="s">
        <v>167</v>
      </c>
      <c r="B13" s="95" t="s">
        <v>501</v>
      </c>
      <c r="C13" s="95" t="s">
        <v>502</v>
      </c>
      <c r="D13" s="96"/>
      <c r="E13" s="97">
        <v>3000000</v>
      </c>
      <c r="F13" s="97" t="s">
        <v>503</v>
      </c>
      <c r="G13" s="95" t="s">
        <v>0</v>
      </c>
      <c r="H13" s="95" t="s">
        <v>504</v>
      </c>
      <c r="I13" s="95" t="s">
        <v>505</v>
      </c>
      <c r="J13" s="95" t="s">
        <v>506</v>
      </c>
      <c r="K13" s="94" t="s">
        <v>66</v>
      </c>
      <c r="L13" s="94" t="s">
        <v>507</v>
      </c>
    </row>
    <row r="14" spans="1:12" x14ac:dyDescent="0.15">
      <c r="A14" t="s">
        <v>6</v>
      </c>
      <c r="B14" s="95" t="s">
        <v>501</v>
      </c>
      <c r="C14" s="95" t="s">
        <v>508</v>
      </c>
      <c r="D14" s="96">
        <v>46903.79</v>
      </c>
      <c r="E14" s="97"/>
      <c r="F14" s="97" t="s">
        <v>509</v>
      </c>
      <c r="G14" s="95" t="s">
        <v>510</v>
      </c>
      <c r="H14" s="95" t="s">
        <v>511</v>
      </c>
      <c r="I14" s="95" t="s">
        <v>6</v>
      </c>
      <c r="J14" s="95" t="s">
        <v>512</v>
      </c>
      <c r="K14" s="94" t="s">
        <v>66</v>
      </c>
      <c r="L14" s="94" t="s">
        <v>513</v>
      </c>
    </row>
    <row r="15" spans="1:12" x14ac:dyDescent="0.15">
      <c r="A15" t="s">
        <v>59</v>
      </c>
      <c r="B15" s="95" t="s">
        <v>501</v>
      </c>
      <c r="C15" s="95" t="s">
        <v>514</v>
      </c>
      <c r="D15" s="96">
        <v>38786.230000000003</v>
      </c>
      <c r="E15" s="97"/>
      <c r="F15" s="97" t="s">
        <v>515</v>
      </c>
      <c r="G15" s="95" t="s">
        <v>0</v>
      </c>
      <c r="H15" s="95" t="s">
        <v>100</v>
      </c>
      <c r="I15" s="95" t="s">
        <v>215</v>
      </c>
      <c r="J15" s="95" t="s">
        <v>101</v>
      </c>
      <c r="K15" s="94" t="s">
        <v>66</v>
      </c>
      <c r="L15" s="94" t="s">
        <v>516</v>
      </c>
    </row>
    <row r="16" spans="1:12" x14ac:dyDescent="0.15">
      <c r="A16" t="s">
        <v>59</v>
      </c>
      <c r="B16" s="95" t="s">
        <v>501</v>
      </c>
      <c r="C16" s="95" t="s">
        <v>517</v>
      </c>
      <c r="D16" s="96">
        <v>184597.41</v>
      </c>
      <c r="E16" s="97"/>
      <c r="F16" s="97" t="s">
        <v>518</v>
      </c>
      <c r="G16" s="95" t="s">
        <v>0</v>
      </c>
      <c r="H16" s="95" t="s">
        <v>64</v>
      </c>
      <c r="I16" s="95" t="s">
        <v>407</v>
      </c>
      <c r="J16" s="95" t="s">
        <v>2</v>
      </c>
      <c r="K16" s="94" t="s">
        <v>66</v>
      </c>
      <c r="L16" s="94" t="s">
        <v>519</v>
      </c>
    </row>
    <row r="17" spans="1:12" x14ac:dyDescent="0.15">
      <c r="A17" t="s">
        <v>51</v>
      </c>
      <c r="B17" s="95" t="s">
        <v>520</v>
      </c>
      <c r="C17" s="95" t="s">
        <v>521</v>
      </c>
      <c r="D17" s="96">
        <v>2087000</v>
      </c>
      <c r="E17" s="97"/>
      <c r="F17" s="97" t="s">
        <v>522</v>
      </c>
      <c r="G17" s="95" t="s">
        <v>523</v>
      </c>
      <c r="H17" s="95" t="s">
        <v>524</v>
      </c>
      <c r="I17" s="95" t="s">
        <v>4</v>
      </c>
      <c r="J17" s="95" t="s">
        <v>203</v>
      </c>
      <c r="K17" s="94" t="s">
        <v>66</v>
      </c>
      <c r="L17" s="94" t="s">
        <v>525</v>
      </c>
    </row>
    <row r="18" spans="1:12" x14ac:dyDescent="0.15">
      <c r="A18" t="s">
        <v>51</v>
      </c>
      <c r="B18" s="95" t="s">
        <v>520</v>
      </c>
      <c r="C18" s="95" t="s">
        <v>526</v>
      </c>
      <c r="D18" s="96">
        <v>150000</v>
      </c>
      <c r="E18" s="97"/>
      <c r="F18" s="97" t="s">
        <v>527</v>
      </c>
      <c r="G18" s="95" t="s">
        <v>528</v>
      </c>
      <c r="H18" s="95" t="s">
        <v>529</v>
      </c>
      <c r="I18" s="95" t="s">
        <v>530</v>
      </c>
      <c r="J18" s="95" t="s">
        <v>531</v>
      </c>
      <c r="K18" s="94" t="s">
        <v>66</v>
      </c>
      <c r="L18" s="94" t="s">
        <v>532</v>
      </c>
    </row>
    <row r="19" spans="1:12" x14ac:dyDescent="0.15">
      <c r="A19" t="s">
        <v>51</v>
      </c>
      <c r="B19" s="95" t="s">
        <v>520</v>
      </c>
      <c r="C19" s="95" t="s">
        <v>533</v>
      </c>
      <c r="D19" s="96">
        <v>163000</v>
      </c>
      <c r="E19" s="97"/>
      <c r="F19" s="97" t="s">
        <v>534</v>
      </c>
      <c r="G19" s="95" t="s">
        <v>535</v>
      </c>
      <c r="H19" s="95" t="s">
        <v>536</v>
      </c>
      <c r="I19" s="95" t="s">
        <v>537</v>
      </c>
      <c r="J19" s="95" t="s">
        <v>538</v>
      </c>
      <c r="K19" s="94" t="s">
        <v>66</v>
      </c>
      <c r="L19" s="94" t="s">
        <v>539</v>
      </c>
    </row>
    <row r="20" spans="1:12" s="3" customFormat="1" x14ac:dyDescent="0.2">
      <c r="B20" s="1"/>
      <c r="C20" s="1"/>
      <c r="D20" s="12"/>
      <c r="E20" s="2"/>
      <c r="F20" s="2"/>
      <c r="G20" s="1"/>
      <c r="H20" s="1"/>
      <c r="I20" s="1"/>
      <c r="J20" s="1"/>
    </row>
    <row r="21" spans="1:12" s="3" customFormat="1" x14ac:dyDescent="0.2">
      <c r="B21" s="1"/>
      <c r="C21" s="1"/>
      <c r="D21" s="12"/>
      <c r="E21" s="2"/>
      <c r="F21" s="2"/>
      <c r="G21" s="1"/>
      <c r="H21" s="1"/>
      <c r="I21" s="1"/>
      <c r="J21" s="1"/>
    </row>
    <row r="22" spans="1:12" s="22" customFormat="1" x14ac:dyDescent="0.2">
      <c r="B22" s="22" t="s">
        <v>56</v>
      </c>
      <c r="C22" s="23"/>
      <c r="D22" s="24">
        <f>SUM(D2:D21)</f>
        <v>5685495.7599999998</v>
      </c>
      <c r="E22" s="23">
        <f>SUM(E2:E21)</f>
        <v>6000000</v>
      </c>
    </row>
    <row r="23" spans="1:12" s="16" customFormat="1" x14ac:dyDescent="0.2">
      <c r="C23" s="17"/>
      <c r="D23" s="18"/>
      <c r="E23" s="17"/>
    </row>
    <row r="24" spans="1:12" x14ac:dyDescent="0.2">
      <c r="A24" t="s">
        <v>4</v>
      </c>
      <c r="D24" s="7">
        <f>SUMIF(A1:A21,A24,D1:D21)</f>
        <v>0</v>
      </c>
      <c r="E24" s="4"/>
      <c r="F24" s="7"/>
    </row>
    <row r="25" spans="1:12" x14ac:dyDescent="0.2">
      <c r="A25" t="s">
        <v>6</v>
      </c>
      <c r="D25" s="7">
        <f>SUMIF(A1:A21,A25,D1:D21)</f>
        <v>46903.79</v>
      </c>
      <c r="E25" s="4"/>
      <c r="F25" s="7"/>
    </row>
    <row r="26" spans="1:12" x14ac:dyDescent="0.2">
      <c r="A26" t="s">
        <v>20</v>
      </c>
      <c r="D26" s="7">
        <f>SUMIF(A1:A21,A26,D1:D21)</f>
        <v>0</v>
      </c>
      <c r="E26" s="4"/>
      <c r="F26" s="7"/>
    </row>
    <row r="27" spans="1:12" x14ac:dyDescent="0.2">
      <c r="A27" t="s">
        <v>25</v>
      </c>
      <c r="D27" s="7">
        <f>SUMIF(A1:A21,A27,D1:D21)</f>
        <v>0</v>
      </c>
      <c r="E27" s="4"/>
      <c r="F27" s="7"/>
    </row>
    <row r="28" spans="1:12" x14ac:dyDescent="0.2">
      <c r="A28" t="s">
        <v>54</v>
      </c>
      <c r="D28" s="7">
        <f>SUMIF(A1:A21,A28,D1:D21)</f>
        <v>0</v>
      </c>
      <c r="E28" s="4"/>
      <c r="F28" s="7"/>
    </row>
    <row r="29" spans="1:12" x14ac:dyDescent="0.2">
      <c r="A29" t="s">
        <v>51</v>
      </c>
      <c r="D29" s="7">
        <f>SUMIF(A1:A21,A29,D1:D21)</f>
        <v>5415208.3300000001</v>
      </c>
      <c r="E29" s="4"/>
      <c r="F29" s="7"/>
    </row>
    <row r="30" spans="1:12" x14ac:dyDescent="0.2">
      <c r="A30" t="s">
        <v>49</v>
      </c>
      <c r="D30" s="7">
        <f>SUMIF(A1:A21,A30,D1:D21)</f>
        <v>0</v>
      </c>
      <c r="E30" s="4"/>
      <c r="F30" s="7"/>
    </row>
    <row r="31" spans="1:12" x14ac:dyDescent="0.2">
      <c r="A31" t="s">
        <v>59</v>
      </c>
      <c r="D31" s="7">
        <f>SUMIF(A1:A21,A31,D1:D21)</f>
        <v>223383.64</v>
      </c>
      <c r="E31" s="4"/>
      <c r="F31" s="7"/>
    </row>
    <row r="32" spans="1:12" x14ac:dyDescent="0.2">
      <c r="E32" s="4"/>
      <c r="F32" s="7"/>
    </row>
    <row r="33" spans="1:6" s="19" customFormat="1" x14ac:dyDescent="0.2">
      <c r="B33" s="19" t="s">
        <v>56</v>
      </c>
      <c r="D33" s="20">
        <f>SUM(SUM(D24:D31))</f>
        <v>5685495.7599999998</v>
      </c>
      <c r="E33" s="21"/>
      <c r="F33" s="20"/>
    </row>
    <row r="34" spans="1:6" x14ac:dyDescent="0.2">
      <c r="D34" s="7">
        <f>D22-D33</f>
        <v>0</v>
      </c>
      <c r="E34" s="4"/>
      <c r="F34" s="7"/>
    </row>
    <row r="35" spans="1:6" x14ac:dyDescent="0.2">
      <c r="E35" s="4"/>
      <c r="F35" s="7"/>
    </row>
    <row r="36" spans="1:6" x14ac:dyDescent="0.2">
      <c r="A36" t="s">
        <v>46</v>
      </c>
      <c r="E36" s="7">
        <f>SUMIF(A1:A21,A36,E1:E21)</f>
        <v>0</v>
      </c>
      <c r="F36" s="7"/>
    </row>
    <row r="37" spans="1:6" x14ac:dyDescent="0.2">
      <c r="A37" t="s">
        <v>47</v>
      </c>
      <c r="E37" s="7">
        <f>SUMIF(A1:A21,A37,E1:E21)</f>
        <v>0</v>
      </c>
      <c r="F37" s="7"/>
    </row>
    <row r="38" spans="1:6" x14ac:dyDescent="0.2">
      <c r="A38" t="s">
        <v>48</v>
      </c>
      <c r="E38" s="7">
        <f>SUMIF(A1:A21,A38,E1:E21)</f>
        <v>0</v>
      </c>
      <c r="F38" s="7"/>
    </row>
    <row r="39" spans="1:6" x14ac:dyDescent="0.2">
      <c r="A39" t="s">
        <v>53</v>
      </c>
      <c r="E39" s="7">
        <f>SUMIF(A1:A21,A39,E1:E21)</f>
        <v>3000000</v>
      </c>
      <c r="F39" s="7"/>
    </row>
    <row r="40" spans="1:6" x14ac:dyDescent="0.2">
      <c r="A40" t="s">
        <v>162</v>
      </c>
      <c r="E40" s="7">
        <f>SUMIF(A1:A21,A40,E1:E21)</f>
        <v>0</v>
      </c>
      <c r="F40" s="7"/>
    </row>
    <row r="41" spans="1:6" x14ac:dyDescent="0.2">
      <c r="A41" t="s">
        <v>57</v>
      </c>
      <c r="E41" s="7">
        <f>SUMIF(A1:A21,A41,E1:E21)</f>
        <v>3000000</v>
      </c>
      <c r="F41" s="7"/>
    </row>
    <row r="42" spans="1:6" x14ac:dyDescent="0.2">
      <c r="F42" s="7"/>
    </row>
    <row r="43" spans="1:6" s="19" customFormat="1" x14ac:dyDescent="0.2">
      <c r="B43" s="19" t="s">
        <v>56</v>
      </c>
      <c r="D43" s="20"/>
      <c r="E43" s="20">
        <f>SUM(E36:E41)</f>
        <v>6000000</v>
      </c>
      <c r="F43" s="20"/>
    </row>
    <row r="44" spans="1:6" x14ac:dyDescent="0.2">
      <c r="E44" s="7">
        <f>E43-E22</f>
        <v>0</v>
      </c>
    </row>
  </sheetData>
  <autoFilter ref="A1:L43"/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'2月银行帐汇总'!$B$4:$B$9</xm:f>
          </x14:formula1>
          <xm:sqref>B1</xm:sqref>
        </x14:dataValidation>
        <x14:dataValidation type="list" allowBlank="1" showInputMessage="1" showErrorMessage="1">
          <x14:formula1>
            <xm:f>字段!$B$4:$B$11</xm:f>
          </x14:formula1>
          <xm:sqref>B2:B4 B20:B21</xm:sqref>
        </x14:dataValidation>
        <x14:dataValidation type="list" allowBlank="1" showInputMessage="1" showErrorMessage="1">
          <x14:formula1>
            <xm:f>字段!$B$4:$B$22</xm:f>
          </x14:formula1>
          <xm:sqref>A1:A45 A46:A1048576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"/>
  <sheetViews>
    <sheetView workbookViewId="0">
      <selection activeCell="G28" sqref="G28"/>
    </sheetView>
  </sheetViews>
  <sheetFormatPr defaultRowHeight="14.25" x14ac:dyDescent="0.2"/>
  <cols>
    <col min="1" max="1" width="15.125" bestFit="1" customWidth="1"/>
    <col min="2" max="3" width="16.125" bestFit="1" customWidth="1"/>
    <col min="4" max="4" width="8.5" style="7" bestFit="1" customWidth="1"/>
    <col min="5" max="6" width="7.875" bestFit="1" customWidth="1"/>
    <col min="7" max="8" width="9" bestFit="1" customWidth="1"/>
    <col min="9" max="9" width="22.75" bestFit="1" customWidth="1"/>
    <col min="10" max="10" width="27.625" bestFit="1" customWidth="1"/>
    <col min="11" max="11" width="9" bestFit="1" customWidth="1"/>
    <col min="12" max="12" width="11" bestFit="1" customWidth="1"/>
    <col min="13" max="13" width="21.375" bestFit="1" customWidth="1"/>
    <col min="14" max="14" width="38" bestFit="1" customWidth="1"/>
    <col min="16" max="18" width="25" bestFit="1" customWidth="1"/>
    <col min="19" max="19" width="15.125" bestFit="1" customWidth="1"/>
    <col min="20" max="20" width="9.5" bestFit="1" customWidth="1"/>
  </cols>
  <sheetData>
    <row r="1" spans="1:21" x14ac:dyDescent="0.2">
      <c r="B1" s="78" t="s">
        <v>10</v>
      </c>
      <c r="C1" s="78" t="s">
        <v>158</v>
      </c>
      <c r="D1" s="78" t="s">
        <v>28</v>
      </c>
      <c r="E1" s="78" t="s">
        <v>182</v>
      </c>
      <c r="F1" s="78" t="s">
        <v>183</v>
      </c>
      <c r="G1" s="78" t="s">
        <v>184</v>
      </c>
      <c r="H1" s="78" t="s">
        <v>13</v>
      </c>
      <c r="I1" s="78" t="s">
        <v>15</v>
      </c>
      <c r="J1" s="78" t="s">
        <v>40</v>
      </c>
      <c r="K1" s="78" t="s">
        <v>31</v>
      </c>
      <c r="L1" s="78" t="s">
        <v>185</v>
      </c>
      <c r="M1" s="78" t="s">
        <v>186</v>
      </c>
      <c r="N1" s="78" t="s">
        <v>187</v>
      </c>
      <c r="O1" s="78" t="s">
        <v>188</v>
      </c>
      <c r="P1" s="78" t="s">
        <v>189</v>
      </c>
      <c r="Q1" s="78" t="s">
        <v>45</v>
      </c>
      <c r="R1" s="78" t="s">
        <v>190</v>
      </c>
      <c r="S1" s="78" t="s">
        <v>191</v>
      </c>
      <c r="T1" s="78" t="s">
        <v>9</v>
      </c>
    </row>
    <row r="2" spans="1:21" x14ac:dyDescent="0.2">
      <c r="A2" t="s">
        <v>20</v>
      </c>
      <c r="B2" s="91" t="s">
        <v>240</v>
      </c>
      <c r="C2" s="91" t="s">
        <v>103</v>
      </c>
      <c r="D2" s="91" t="s">
        <v>192</v>
      </c>
      <c r="E2" s="91" t="s">
        <v>66</v>
      </c>
      <c r="F2" s="77">
        <v>6458.33</v>
      </c>
      <c r="G2" s="91" t="s">
        <v>193</v>
      </c>
      <c r="H2" s="77">
        <v>3274.89</v>
      </c>
      <c r="I2" s="91" t="s">
        <v>168</v>
      </c>
      <c r="J2" s="91" t="s">
        <v>169</v>
      </c>
      <c r="K2" s="91" t="s">
        <v>170</v>
      </c>
      <c r="L2" s="91" t="s">
        <v>171</v>
      </c>
      <c r="M2" s="91" t="s">
        <v>194</v>
      </c>
      <c r="N2" s="91" t="s">
        <v>71</v>
      </c>
      <c r="O2" s="91" t="s">
        <v>195</v>
      </c>
      <c r="P2" s="91" t="s">
        <v>241</v>
      </c>
      <c r="Q2" s="91" t="s">
        <v>241</v>
      </c>
      <c r="R2" s="91" t="s">
        <v>242</v>
      </c>
      <c r="S2" s="91" t="s">
        <v>66</v>
      </c>
      <c r="T2" s="91" t="s">
        <v>243</v>
      </c>
      <c r="U2" s="91" t="s">
        <v>244</v>
      </c>
    </row>
    <row r="3" spans="1:21" x14ac:dyDescent="0.2">
      <c r="A3" t="s">
        <v>20</v>
      </c>
      <c r="B3" s="91" t="s">
        <v>245</v>
      </c>
      <c r="C3" s="91" t="s">
        <v>103</v>
      </c>
      <c r="D3" s="91" t="s">
        <v>192</v>
      </c>
      <c r="E3" s="91" t="s">
        <v>66</v>
      </c>
      <c r="F3" s="77">
        <v>1</v>
      </c>
      <c r="G3" s="91" t="s">
        <v>193</v>
      </c>
      <c r="H3" s="77">
        <v>3273.89</v>
      </c>
      <c r="I3" s="91" t="s">
        <v>172</v>
      </c>
      <c r="J3" s="91" t="s">
        <v>173</v>
      </c>
      <c r="K3" s="91" t="s">
        <v>174</v>
      </c>
      <c r="L3" s="91" t="s">
        <v>66</v>
      </c>
      <c r="M3" s="91" t="s">
        <v>196</v>
      </c>
      <c r="N3" s="91" t="s">
        <v>197</v>
      </c>
      <c r="O3" s="91" t="s">
        <v>198</v>
      </c>
      <c r="P3" s="91" t="s">
        <v>246</v>
      </c>
      <c r="Q3" s="91" t="s">
        <v>246</v>
      </c>
      <c r="R3" s="91" t="s">
        <v>247</v>
      </c>
      <c r="S3" s="91" t="s">
        <v>66</v>
      </c>
      <c r="T3" s="91" t="s">
        <v>243</v>
      </c>
      <c r="U3" s="91" t="s">
        <v>248</v>
      </c>
    </row>
    <row r="4" spans="1:21" x14ac:dyDescent="0.2">
      <c r="A4" t="s">
        <v>57</v>
      </c>
      <c r="B4" s="91" t="s">
        <v>249</v>
      </c>
      <c r="C4" s="91" t="s">
        <v>103</v>
      </c>
      <c r="D4" s="91" t="s">
        <v>192</v>
      </c>
      <c r="E4" s="77">
        <v>6000</v>
      </c>
      <c r="F4" s="91" t="s">
        <v>66</v>
      </c>
      <c r="G4" s="91" t="s">
        <v>250</v>
      </c>
      <c r="H4" s="77">
        <v>9273.89</v>
      </c>
      <c r="I4" s="91" t="s">
        <v>64</v>
      </c>
      <c r="J4" s="91" t="s">
        <v>0</v>
      </c>
      <c r="K4" s="91" t="s">
        <v>175</v>
      </c>
      <c r="L4" s="91" t="s">
        <v>1</v>
      </c>
      <c r="M4" s="91" t="s">
        <v>199</v>
      </c>
      <c r="N4" s="91" t="s">
        <v>2</v>
      </c>
      <c r="O4" s="91" t="s">
        <v>200</v>
      </c>
      <c r="P4" s="91" t="s">
        <v>251</v>
      </c>
      <c r="Q4" s="91" t="s">
        <v>252</v>
      </c>
      <c r="R4" s="91" t="s">
        <v>253</v>
      </c>
      <c r="S4" s="91" t="s">
        <v>66</v>
      </c>
      <c r="T4" s="91" t="s">
        <v>254</v>
      </c>
      <c r="U4" s="91" t="s">
        <v>255</v>
      </c>
    </row>
    <row r="5" spans="1:21" s="60" customFormat="1" ht="15" x14ac:dyDescent="0.2">
      <c r="A5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21" x14ac:dyDescent="0.2">
      <c r="B6" s="5"/>
      <c r="C6" s="6"/>
    </row>
    <row r="8" spans="1:21" s="25" customFormat="1" x14ac:dyDescent="0.2">
      <c r="B8" s="25" t="s">
        <v>56</v>
      </c>
      <c r="E8" s="27">
        <f>SUM(E2:E7)</f>
        <v>6000</v>
      </c>
      <c r="F8" s="27">
        <f>SUM(F2:F7)</f>
        <v>6459.33</v>
      </c>
    </row>
    <row r="9" spans="1:21" s="16" customFormat="1" x14ac:dyDescent="0.2">
      <c r="C9" s="17"/>
      <c r="D9" s="18"/>
    </row>
    <row r="10" spans="1:21" x14ac:dyDescent="0.2">
      <c r="A10" t="s">
        <v>4</v>
      </c>
      <c r="C10" s="7">
        <f>SUMIF(A2:A7,A10,F2:F7)</f>
        <v>0</v>
      </c>
      <c r="D10" s="4"/>
    </row>
    <row r="11" spans="1:21" x14ac:dyDescent="0.2">
      <c r="A11" t="s">
        <v>6</v>
      </c>
      <c r="C11" s="7">
        <f ca="1">SUMIF(A1:A7,A11,E2:E7)</f>
        <v>0</v>
      </c>
      <c r="D11" s="4"/>
    </row>
    <row r="12" spans="1:21" x14ac:dyDescent="0.2">
      <c r="A12" t="s">
        <v>20</v>
      </c>
      <c r="C12" s="7">
        <f>SUMIF(A2:A7,A12,F2:F7)</f>
        <v>6459.33</v>
      </c>
      <c r="D12" s="4"/>
    </row>
    <row r="13" spans="1:21" x14ac:dyDescent="0.2">
      <c r="A13" t="s">
        <v>25</v>
      </c>
      <c r="C13" s="7">
        <f>SUMIF(A2:A7,A13,F2:F7)</f>
        <v>0</v>
      </c>
      <c r="D13" s="4"/>
    </row>
    <row r="14" spans="1:21" x14ac:dyDescent="0.2">
      <c r="A14" t="s">
        <v>54</v>
      </c>
      <c r="C14" s="7">
        <f>SUMIF(A2:A7,A14,F2:F7)</f>
        <v>0</v>
      </c>
      <c r="D14" s="4"/>
    </row>
    <row r="15" spans="1:21" x14ac:dyDescent="0.2">
      <c r="A15" t="s">
        <v>51</v>
      </c>
      <c r="C15" s="7">
        <f>SUMIF(A2:A7,A15,F2:F7)</f>
        <v>0</v>
      </c>
      <c r="D15" s="4"/>
    </row>
    <row r="16" spans="1:21" x14ac:dyDescent="0.2">
      <c r="A16" t="s">
        <v>49</v>
      </c>
      <c r="C16" s="7">
        <f>SUMIF(A2:A7,A16,E2:E7)</f>
        <v>0</v>
      </c>
      <c r="D16" s="4"/>
    </row>
    <row r="17" spans="1:4" x14ac:dyDescent="0.2">
      <c r="A17" t="s">
        <v>59</v>
      </c>
      <c r="C17" s="7">
        <f>SUMIF(A2:A7,A17,F2:F7)</f>
        <v>0</v>
      </c>
      <c r="D17" s="4"/>
    </row>
    <row r="18" spans="1:4" x14ac:dyDescent="0.2">
      <c r="C18" s="7"/>
      <c r="D18" s="4"/>
    </row>
    <row r="19" spans="1:4" s="19" customFormat="1" x14ac:dyDescent="0.2">
      <c r="B19" s="19" t="s">
        <v>56</v>
      </c>
      <c r="C19" s="20">
        <f ca="1">SUM(SUM(C10:C17))</f>
        <v>6459.33</v>
      </c>
      <c r="D19" s="21"/>
    </row>
    <row r="20" spans="1:4" x14ac:dyDescent="0.2">
      <c r="C20" s="7">
        <f ca="1">F8-C19</f>
        <v>0</v>
      </c>
      <c r="D20" s="4"/>
    </row>
    <row r="21" spans="1:4" x14ac:dyDescent="0.2">
      <c r="C21" s="7"/>
      <c r="D21" s="4"/>
    </row>
    <row r="22" spans="1:4" x14ac:dyDescent="0.2">
      <c r="A22" t="s">
        <v>46</v>
      </c>
      <c r="C22" s="7">
        <f>SUMIF(A2:A7,A22,E2:E7)</f>
        <v>0</v>
      </c>
      <c r="D22" s="4"/>
    </row>
    <row r="23" spans="1:4" x14ac:dyDescent="0.2">
      <c r="A23" t="s">
        <v>47</v>
      </c>
      <c r="C23" s="7">
        <f>SUMIF(A2:A7,A23,E2:E7)</f>
        <v>0</v>
      </c>
      <c r="D23" s="4"/>
    </row>
    <row r="24" spans="1:4" x14ac:dyDescent="0.2">
      <c r="A24" t="s">
        <v>48</v>
      </c>
      <c r="C24" s="7">
        <f>SUMIF(A2:A7,A24,E2:E7)</f>
        <v>0</v>
      </c>
      <c r="D24" s="4"/>
    </row>
    <row r="25" spans="1:4" x14ac:dyDescent="0.2">
      <c r="A25" t="s">
        <v>53</v>
      </c>
      <c r="C25" s="7">
        <f>SUMIF(A2:A7,A25,E2:E7)</f>
        <v>0</v>
      </c>
      <c r="D25" s="4"/>
    </row>
    <row r="26" spans="1:4" x14ac:dyDescent="0.2">
      <c r="A26" t="s">
        <v>57</v>
      </c>
      <c r="C26" s="7">
        <f>SUMIF(A2:A7,A26,E2:E7)</f>
        <v>6000</v>
      </c>
      <c r="D26" s="4"/>
    </row>
    <row r="27" spans="1:4" s="19" customFormat="1" x14ac:dyDescent="0.2">
      <c r="B27" s="19" t="s">
        <v>56</v>
      </c>
      <c r="C27" s="20">
        <f>SUM(C22:C26)</f>
        <v>6000</v>
      </c>
      <c r="D27" s="21"/>
    </row>
    <row r="28" spans="1:4" x14ac:dyDescent="0.2">
      <c r="C28" s="7">
        <f>C27-E8</f>
        <v>0</v>
      </c>
    </row>
    <row r="34" spans="1:1" x14ac:dyDescent="0.2">
      <c r="A34" s="85"/>
    </row>
    <row r="35" spans="1:1" x14ac:dyDescent="0.2">
      <c r="A35" s="85"/>
    </row>
    <row r="36" spans="1:1" x14ac:dyDescent="0.2">
      <c r="A36" s="85"/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'2月银行帐汇总'!$B$4:$B$9</xm:f>
          </x14:formula1>
          <xm:sqref>B5</xm:sqref>
        </x14:dataValidation>
        <x14:dataValidation type="list" allowBlank="1" showInputMessage="1" showErrorMessage="1">
          <x14:formula1>
            <xm:f>字段!$B$4:$B$11</xm:f>
          </x14:formula1>
          <xm:sqref>B6</xm:sqref>
        </x14:dataValidation>
        <x14:dataValidation type="list" allowBlank="1" showInputMessage="1" showErrorMessage="1">
          <x14:formula1>
            <xm:f>字段!$B$4:$B$22</xm:f>
          </x14:formula1>
          <xm:sqref>A1:A33 A37:A1048576 B2:B4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workbookViewId="0">
      <pane ySplit="1" topLeftCell="A2" activePane="bottomLeft" state="frozen"/>
      <selection pane="bottomLeft" activeCell="F35" sqref="F35"/>
    </sheetView>
  </sheetViews>
  <sheetFormatPr defaultRowHeight="14.25" x14ac:dyDescent="0.2"/>
  <cols>
    <col min="1" max="1" width="15.125" bestFit="1" customWidth="1"/>
    <col min="2" max="2" width="19" bestFit="1" customWidth="1"/>
    <col min="3" max="3" width="31.625" hidden="1" customWidth="1"/>
    <col min="4" max="4" width="12.125" style="7" bestFit="1" customWidth="1"/>
    <col min="5" max="5" width="8.5" bestFit="1" customWidth="1"/>
    <col min="6" max="7" width="11.625" style="7" bestFit="1" customWidth="1"/>
    <col min="8" max="8" width="10.5" style="7" bestFit="1" customWidth="1"/>
    <col min="9" max="9" width="10.25" hidden="1" customWidth="1"/>
    <col min="10" max="10" width="49" customWidth="1"/>
    <col min="11" max="11" width="40.625" customWidth="1"/>
    <col min="12" max="12" width="38" bestFit="1" customWidth="1"/>
    <col min="13" max="13" width="13.375" bestFit="1" customWidth="1"/>
    <col min="14" max="14" width="7.75" bestFit="1" customWidth="1"/>
  </cols>
  <sheetData>
    <row r="1" spans="1:13" s="85" customFormat="1" x14ac:dyDescent="0.2">
      <c r="B1" s="86" t="s">
        <v>10</v>
      </c>
      <c r="C1" s="86" t="s">
        <v>31</v>
      </c>
      <c r="D1" s="86" t="s">
        <v>219</v>
      </c>
      <c r="E1" s="86" t="s">
        <v>18</v>
      </c>
      <c r="F1" s="84" t="s">
        <v>11</v>
      </c>
      <c r="G1" s="84" t="s">
        <v>12</v>
      </c>
      <c r="H1" s="84" t="s">
        <v>13</v>
      </c>
      <c r="I1" s="86" t="s">
        <v>19</v>
      </c>
      <c r="J1" s="86" t="s">
        <v>220</v>
      </c>
      <c r="K1" s="86" t="s">
        <v>146</v>
      </c>
    </row>
    <row r="2" spans="1:13" x14ac:dyDescent="0.2">
      <c r="C2" s="10"/>
      <c r="D2" s="11"/>
      <c r="E2" s="12"/>
      <c r="F2" s="82"/>
      <c r="G2" s="82"/>
      <c r="I2" s="8"/>
      <c r="J2" s="11"/>
      <c r="M2" s="11"/>
    </row>
    <row r="3" spans="1:13" s="85" customFormat="1" ht="23.25" customHeight="1" x14ac:dyDescent="0.2">
      <c r="A3" s="85" t="s">
        <v>167</v>
      </c>
      <c r="B3" s="88" t="s">
        <v>221</v>
      </c>
      <c r="C3" s="90" t="s">
        <v>222</v>
      </c>
      <c r="D3" s="89"/>
      <c r="E3" s="87"/>
      <c r="F3" s="83">
        <v>0</v>
      </c>
      <c r="G3" s="83">
        <v>1000000</v>
      </c>
      <c r="H3" s="83">
        <v>1005254.14</v>
      </c>
      <c r="I3" s="88" t="s">
        <v>223</v>
      </c>
      <c r="J3" s="88" t="s">
        <v>224</v>
      </c>
      <c r="K3" s="89"/>
    </row>
    <row r="4" spans="1:13" s="85" customFormat="1" ht="23.25" customHeight="1" x14ac:dyDescent="0.2">
      <c r="A4" s="85" t="s">
        <v>51</v>
      </c>
      <c r="B4" s="88" t="s">
        <v>225</v>
      </c>
      <c r="C4" s="90" t="s">
        <v>4</v>
      </c>
      <c r="D4" s="90" t="s">
        <v>226</v>
      </c>
      <c r="E4" s="88" t="s">
        <v>227</v>
      </c>
      <c r="F4" s="83">
        <v>100000</v>
      </c>
      <c r="G4" s="83">
        <v>0</v>
      </c>
      <c r="H4" s="83">
        <v>905254.14</v>
      </c>
      <c r="I4" s="88" t="s">
        <v>228</v>
      </c>
      <c r="J4" s="90" t="s">
        <v>238</v>
      </c>
      <c r="K4" s="90" t="s">
        <v>204</v>
      </c>
    </row>
    <row r="5" spans="1:13" s="85" customFormat="1" ht="21.75" customHeight="1" x14ac:dyDescent="0.2">
      <c r="A5" s="85" t="s">
        <v>20</v>
      </c>
      <c r="B5" s="88" t="s">
        <v>225</v>
      </c>
      <c r="C5" s="90" t="s">
        <v>67</v>
      </c>
      <c r="D5" s="89"/>
      <c r="E5" s="87"/>
      <c r="F5" s="83">
        <v>8</v>
      </c>
      <c r="G5" s="83">
        <v>0</v>
      </c>
      <c r="H5" s="83">
        <v>905246.14</v>
      </c>
      <c r="I5" s="88" t="s">
        <v>228</v>
      </c>
      <c r="J5" s="88" t="s">
        <v>239</v>
      </c>
      <c r="K5" s="90" t="s">
        <v>231</v>
      </c>
    </row>
    <row r="6" spans="1:13" s="85" customFormat="1" ht="20.25" customHeight="1" x14ac:dyDescent="0.2">
      <c r="A6" s="85" t="s">
        <v>51</v>
      </c>
      <c r="B6" s="88" t="s">
        <v>232</v>
      </c>
      <c r="C6" s="90" t="s">
        <v>4</v>
      </c>
      <c r="D6" s="90" t="s">
        <v>226</v>
      </c>
      <c r="E6" s="88" t="s">
        <v>233</v>
      </c>
      <c r="F6" s="83">
        <v>420000</v>
      </c>
      <c r="G6" s="83">
        <v>0</v>
      </c>
      <c r="H6" s="83">
        <v>485246.14</v>
      </c>
      <c r="I6" s="88" t="s">
        <v>234</v>
      </c>
      <c r="J6" s="90" t="s">
        <v>229</v>
      </c>
      <c r="K6" s="90" t="s">
        <v>204</v>
      </c>
    </row>
    <row r="7" spans="1:13" s="85" customFormat="1" ht="23.25" customHeight="1" x14ac:dyDescent="0.2">
      <c r="A7" s="85" t="s">
        <v>20</v>
      </c>
      <c r="B7" s="88" t="s">
        <v>232</v>
      </c>
      <c r="C7" s="90" t="s">
        <v>67</v>
      </c>
      <c r="D7" s="89"/>
      <c r="E7" s="87"/>
      <c r="F7" s="83">
        <v>12</v>
      </c>
      <c r="G7" s="83">
        <v>0</v>
      </c>
      <c r="H7" s="83">
        <v>485234.14</v>
      </c>
      <c r="I7" s="88" t="s">
        <v>234</v>
      </c>
      <c r="J7" s="88" t="s">
        <v>230</v>
      </c>
      <c r="K7" s="90" t="s">
        <v>231</v>
      </c>
    </row>
    <row r="8" spans="1:13" s="85" customFormat="1" ht="20.25" customHeight="1" x14ac:dyDescent="0.2">
      <c r="A8" s="85" t="s">
        <v>51</v>
      </c>
      <c r="B8" s="88" t="s">
        <v>235</v>
      </c>
      <c r="C8" s="90" t="s">
        <v>4</v>
      </c>
      <c r="D8" s="90" t="s">
        <v>226</v>
      </c>
      <c r="E8" s="88" t="s">
        <v>236</v>
      </c>
      <c r="F8" s="83">
        <v>480000</v>
      </c>
      <c r="G8" s="83">
        <v>0</v>
      </c>
      <c r="H8" s="83">
        <v>5234.1400000000003</v>
      </c>
      <c r="I8" s="88" t="s">
        <v>237</v>
      </c>
      <c r="J8" s="90" t="s">
        <v>229</v>
      </c>
      <c r="K8" s="90" t="s">
        <v>204</v>
      </c>
    </row>
    <row r="9" spans="1:13" s="85" customFormat="1" ht="20.25" customHeight="1" x14ac:dyDescent="0.2">
      <c r="A9" s="85" t="s">
        <v>20</v>
      </c>
      <c r="B9" s="88" t="s">
        <v>235</v>
      </c>
      <c r="C9" s="90" t="s">
        <v>67</v>
      </c>
      <c r="D9" s="89"/>
      <c r="E9" s="87"/>
      <c r="F9" s="83">
        <v>12</v>
      </c>
      <c r="G9" s="83">
        <v>0</v>
      </c>
      <c r="H9" s="83">
        <v>5222.1400000000003</v>
      </c>
      <c r="I9" s="88" t="s">
        <v>237</v>
      </c>
      <c r="J9" s="88" t="s">
        <v>230</v>
      </c>
      <c r="K9" s="90" t="s">
        <v>231</v>
      </c>
    </row>
    <row r="10" spans="1:13" s="61" customFormat="1" x14ac:dyDescent="0.2">
      <c r="B10" s="62"/>
      <c r="C10" s="62"/>
      <c r="D10" s="64"/>
      <c r="E10" s="64"/>
      <c r="F10" s="81"/>
      <c r="G10" s="81"/>
      <c r="H10" s="81"/>
      <c r="I10" s="62"/>
      <c r="J10" s="62"/>
      <c r="K10" s="62"/>
    </row>
    <row r="11" spans="1:13" s="61" customFormat="1" x14ac:dyDescent="0.2">
      <c r="B11" s="62"/>
      <c r="C11" s="62"/>
      <c r="D11" s="64"/>
      <c r="E11" s="64"/>
      <c r="F11" s="81"/>
      <c r="G11" s="81"/>
      <c r="H11" s="81"/>
      <c r="I11" s="62"/>
      <c r="J11" s="62"/>
      <c r="K11" s="62"/>
    </row>
    <row r="12" spans="1:13" x14ac:dyDescent="0.2">
      <c r="A12" s="61"/>
      <c r="B12" s="62"/>
      <c r="C12" s="62"/>
      <c r="D12" s="63"/>
      <c r="E12" s="63"/>
      <c r="F12" s="81"/>
      <c r="G12" s="81"/>
      <c r="H12" s="81"/>
      <c r="I12" s="62"/>
      <c r="J12" s="62"/>
      <c r="K12" s="62"/>
    </row>
    <row r="13" spans="1:13" x14ac:dyDescent="0.2">
      <c r="A13" s="61"/>
      <c r="B13" s="62"/>
      <c r="C13" s="62"/>
      <c r="D13" s="63"/>
      <c r="E13" s="64"/>
      <c r="F13" s="81"/>
      <c r="G13" s="81"/>
      <c r="H13" s="81"/>
      <c r="I13" s="62"/>
      <c r="J13" s="62"/>
      <c r="K13" s="62"/>
    </row>
    <row r="14" spans="1:13" s="25" customFormat="1" x14ac:dyDescent="0.2">
      <c r="B14" s="25" t="s">
        <v>56</v>
      </c>
      <c r="C14" s="26"/>
      <c r="D14" s="26"/>
      <c r="E14" s="26"/>
      <c r="F14" s="27">
        <f>SUM(F2:F13)</f>
        <v>1000032</v>
      </c>
      <c r="G14" s="27">
        <f>SUM(G2:G13)</f>
        <v>1000000</v>
      </c>
      <c r="H14" s="26"/>
      <c r="I14" s="26"/>
      <c r="J14" s="26"/>
    </row>
    <row r="15" spans="1:13" s="16" customFormat="1" x14ac:dyDescent="0.2">
      <c r="C15" s="17"/>
      <c r="D15" s="18"/>
      <c r="F15" s="17"/>
      <c r="G15" s="17"/>
      <c r="H15" s="17"/>
    </row>
    <row r="16" spans="1:13" x14ac:dyDescent="0.2">
      <c r="A16" t="s">
        <v>4</v>
      </c>
      <c r="D16" s="7">
        <f>SUMIF(A1:A13,A16,F1:F13)</f>
        <v>0</v>
      </c>
      <c r="E16" s="4"/>
    </row>
    <row r="17" spans="1:8" x14ac:dyDescent="0.2">
      <c r="A17" t="s">
        <v>6</v>
      </c>
      <c r="D17" s="7">
        <f>SUMIF(A1:A13,A17,F1:F13)</f>
        <v>0</v>
      </c>
      <c r="E17" s="4"/>
    </row>
    <row r="18" spans="1:8" x14ac:dyDescent="0.2">
      <c r="A18" t="s">
        <v>20</v>
      </c>
      <c r="D18" s="7">
        <f>SUMIF(A1:A13,A18,F1:F13)</f>
        <v>32</v>
      </c>
      <c r="E18" s="4"/>
    </row>
    <row r="19" spans="1:8" x14ac:dyDescent="0.2">
      <c r="A19" t="s">
        <v>25</v>
      </c>
      <c r="D19" s="7">
        <f>SUMIF(A1:A13,A19,F1:F13)</f>
        <v>0</v>
      </c>
      <c r="E19" s="4"/>
    </row>
    <row r="20" spans="1:8" x14ac:dyDescent="0.2">
      <c r="A20" t="s">
        <v>54</v>
      </c>
      <c r="D20" s="7">
        <f>SUMIF(A1:A13,A20,D1:D13)</f>
        <v>0</v>
      </c>
      <c r="E20" s="4"/>
    </row>
    <row r="21" spans="1:8" x14ac:dyDescent="0.2">
      <c r="A21" t="s">
        <v>51</v>
      </c>
      <c r="D21" s="7">
        <f>SUMIF(A1:A13,A21,F1:F13)</f>
        <v>1000000</v>
      </c>
      <c r="E21" s="4"/>
    </row>
    <row r="22" spans="1:8" x14ac:dyDescent="0.2">
      <c r="A22" t="s">
        <v>49</v>
      </c>
      <c r="D22" s="7">
        <f>SUMIF(A1:A13,A22,F1:F13)</f>
        <v>0</v>
      </c>
      <c r="E22" s="4"/>
    </row>
    <row r="23" spans="1:8" x14ac:dyDescent="0.2">
      <c r="A23" t="s">
        <v>59</v>
      </c>
      <c r="D23" s="7">
        <f>SUMIF(A1:A13,A23,F1:F13)</f>
        <v>0</v>
      </c>
      <c r="E23" s="4"/>
    </row>
    <row r="24" spans="1:8" x14ac:dyDescent="0.2">
      <c r="E24" s="4"/>
    </row>
    <row r="25" spans="1:8" s="19" customFormat="1" x14ac:dyDescent="0.2">
      <c r="B25" s="19" t="s">
        <v>56</v>
      </c>
      <c r="D25" s="20">
        <f>SUM(SUM(D16:D24))</f>
        <v>1000032</v>
      </c>
      <c r="E25" s="21"/>
      <c r="F25" s="20"/>
      <c r="G25" s="20"/>
      <c r="H25" s="20"/>
    </row>
    <row r="26" spans="1:8" x14ac:dyDescent="0.2">
      <c r="D26" s="7">
        <f>F14-D25</f>
        <v>0</v>
      </c>
      <c r="E26" s="4"/>
    </row>
    <row r="27" spans="1:8" x14ac:dyDescent="0.2">
      <c r="E27" s="4"/>
    </row>
    <row r="28" spans="1:8" x14ac:dyDescent="0.2">
      <c r="A28" t="s">
        <v>46</v>
      </c>
      <c r="D28" s="7">
        <f>SUMIF(A1:A13,A28,G1:G13)</f>
        <v>0</v>
      </c>
      <c r="E28" s="4"/>
    </row>
    <row r="29" spans="1:8" x14ac:dyDescent="0.2">
      <c r="A29" t="s">
        <v>47</v>
      </c>
      <c r="D29" s="7">
        <f>SUMIF(A1:A13,A29,G1:G13)</f>
        <v>0</v>
      </c>
      <c r="E29" s="4"/>
    </row>
    <row r="30" spans="1:8" x14ac:dyDescent="0.2">
      <c r="A30" t="s">
        <v>48</v>
      </c>
      <c r="D30" s="7">
        <f>SUMIF(A1:A13,A30,G1:G13)</f>
        <v>0</v>
      </c>
      <c r="E30" s="4"/>
    </row>
    <row r="31" spans="1:8" x14ac:dyDescent="0.2">
      <c r="A31" t="s">
        <v>53</v>
      </c>
      <c r="D31" s="7">
        <f>SUMIF(A1:A13,A31,G1:G13)</f>
        <v>1000000</v>
      </c>
      <c r="E31" s="4"/>
    </row>
    <row r="32" spans="1:8" x14ac:dyDescent="0.2">
      <c r="A32" t="s">
        <v>57</v>
      </c>
      <c r="D32" s="7">
        <f>SUMIF(A1:A13,A32,G1:G13)</f>
        <v>0</v>
      </c>
      <c r="E32" s="4"/>
    </row>
    <row r="33" spans="2:8" x14ac:dyDescent="0.2">
      <c r="E33" s="4"/>
    </row>
    <row r="34" spans="2:8" s="19" customFormat="1" x14ac:dyDescent="0.2">
      <c r="B34" s="19" t="s">
        <v>56</v>
      </c>
      <c r="D34" s="20">
        <f>SUM(D28:D33)</f>
        <v>1000000</v>
      </c>
      <c r="E34" s="21"/>
      <c r="F34" s="20"/>
      <c r="G34" s="20"/>
      <c r="H34" s="20"/>
    </row>
    <row r="35" spans="2:8" x14ac:dyDescent="0.2">
      <c r="D35" s="7">
        <f>D34-G14</f>
        <v>0</v>
      </c>
      <c r="E35" s="7"/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字段!$B$4:$B$22</xm:f>
          </x14:formula1>
          <xm:sqref>A1:A1048576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>
      <pane ySplit="1" topLeftCell="A2" activePane="bottomLeft" state="frozen"/>
      <selection pane="bottomLeft" activeCell="F31" sqref="F31"/>
    </sheetView>
  </sheetViews>
  <sheetFormatPr defaultRowHeight="14.25" x14ac:dyDescent="0.2"/>
  <cols>
    <col min="1" max="1" width="15.125" bestFit="1" customWidth="1"/>
    <col min="2" max="2" width="19.75" bestFit="1" customWidth="1"/>
    <col min="3" max="3" width="21.375" bestFit="1" customWidth="1"/>
    <col min="4" max="4" width="38" style="4" hidden="1" customWidth="1"/>
    <col min="5" max="5" width="22.75" hidden="1" customWidth="1"/>
    <col min="6" max="7" width="13.375" style="51" bestFit="1" customWidth="1"/>
    <col min="8" max="8" width="10.25" style="7" bestFit="1" customWidth="1"/>
    <col min="9" max="10" width="17.25" bestFit="1" customWidth="1"/>
    <col min="11" max="11" width="9.5" bestFit="1" customWidth="1"/>
    <col min="12" max="12" width="7.125" bestFit="1" customWidth="1"/>
  </cols>
  <sheetData>
    <row r="1" spans="1:11" s="40" customFormat="1" ht="18" x14ac:dyDescent="0.2">
      <c r="A1" s="40" t="s">
        <v>18</v>
      </c>
      <c r="B1" s="40" t="s">
        <v>10</v>
      </c>
      <c r="C1" s="40" t="s">
        <v>30</v>
      </c>
      <c r="D1" s="41" t="s">
        <v>146</v>
      </c>
      <c r="E1" s="40" t="s">
        <v>15</v>
      </c>
      <c r="F1" s="68" t="s">
        <v>27</v>
      </c>
      <c r="G1" s="68" t="s">
        <v>26</v>
      </c>
      <c r="H1" s="67" t="s">
        <v>29</v>
      </c>
      <c r="I1" s="40" t="s">
        <v>147</v>
      </c>
      <c r="J1" s="40" t="s">
        <v>31</v>
      </c>
      <c r="K1" s="40" t="s">
        <v>148</v>
      </c>
    </row>
    <row r="2" spans="1:11" x14ac:dyDescent="0.2">
      <c r="D2"/>
    </row>
    <row r="3" spans="1:11" x14ac:dyDescent="0.2">
      <c r="A3" s="79" t="s">
        <v>54</v>
      </c>
      <c r="B3" s="79" t="s">
        <v>210</v>
      </c>
      <c r="C3" s="79" t="s">
        <v>176</v>
      </c>
      <c r="D3" s="79" t="s">
        <v>177</v>
      </c>
      <c r="E3" s="79" t="s">
        <v>178</v>
      </c>
      <c r="F3" s="79" t="s">
        <v>66</v>
      </c>
      <c r="G3" s="80">
        <v>38786.230000000003</v>
      </c>
      <c r="H3" s="80">
        <v>2487.41</v>
      </c>
      <c r="I3" s="79" t="s">
        <v>179</v>
      </c>
      <c r="J3" s="79" t="s">
        <v>179</v>
      </c>
      <c r="K3" s="79" t="s">
        <v>211</v>
      </c>
    </row>
    <row r="4" spans="1:11" x14ac:dyDescent="0.2">
      <c r="A4" s="79" t="s">
        <v>54</v>
      </c>
      <c r="B4" s="79" t="s">
        <v>212</v>
      </c>
      <c r="C4" s="79" t="s">
        <v>176</v>
      </c>
      <c r="D4" s="79" t="s">
        <v>177</v>
      </c>
      <c r="E4" s="79" t="s">
        <v>178</v>
      </c>
      <c r="F4" s="79" t="s">
        <v>66</v>
      </c>
      <c r="G4" s="80">
        <v>1431.27</v>
      </c>
      <c r="H4" s="80">
        <v>41273.64</v>
      </c>
      <c r="I4" s="79" t="s">
        <v>179</v>
      </c>
      <c r="J4" s="79" t="s">
        <v>179</v>
      </c>
      <c r="K4" s="79" t="s">
        <v>213</v>
      </c>
    </row>
    <row r="5" spans="1:11" x14ac:dyDescent="0.2">
      <c r="A5" s="79" t="s">
        <v>57</v>
      </c>
      <c r="B5" s="79" t="s">
        <v>214</v>
      </c>
      <c r="C5" s="79" t="s">
        <v>0</v>
      </c>
      <c r="D5" s="79" t="s">
        <v>77</v>
      </c>
      <c r="E5" s="79" t="s">
        <v>166</v>
      </c>
      <c r="F5" s="80">
        <v>38786.230000000003</v>
      </c>
      <c r="G5" s="79" t="s">
        <v>66</v>
      </c>
      <c r="H5" s="80">
        <v>42704.91</v>
      </c>
      <c r="I5" s="79" t="s">
        <v>66</v>
      </c>
      <c r="J5" s="79" t="s">
        <v>215</v>
      </c>
      <c r="K5" s="79" t="s">
        <v>215</v>
      </c>
    </row>
    <row r="6" spans="1:11" x14ac:dyDescent="0.2">
      <c r="A6" s="79" t="s">
        <v>25</v>
      </c>
      <c r="B6" s="79" t="s">
        <v>216</v>
      </c>
      <c r="C6" s="79" t="s">
        <v>176</v>
      </c>
      <c r="D6" s="79" t="s">
        <v>177</v>
      </c>
      <c r="E6" s="79" t="s">
        <v>178</v>
      </c>
      <c r="F6" s="79" t="s">
        <v>66</v>
      </c>
      <c r="G6" s="76">
        <v>719.32</v>
      </c>
      <c r="H6" s="80">
        <v>3918.68</v>
      </c>
      <c r="I6" s="79" t="s">
        <v>179</v>
      </c>
      <c r="J6" s="79" t="s">
        <v>179</v>
      </c>
      <c r="K6" s="79" t="s">
        <v>217</v>
      </c>
    </row>
    <row r="7" spans="1:11" x14ac:dyDescent="0.2">
      <c r="A7" s="79" t="s">
        <v>57</v>
      </c>
      <c r="B7" s="79" t="s">
        <v>218</v>
      </c>
      <c r="C7" s="79" t="s">
        <v>0</v>
      </c>
      <c r="D7" s="79" t="s">
        <v>2</v>
      </c>
      <c r="E7" s="79" t="s">
        <v>64</v>
      </c>
      <c r="F7" s="80">
        <v>2500</v>
      </c>
      <c r="G7" s="79" t="s">
        <v>66</v>
      </c>
      <c r="H7" s="80">
        <v>4638</v>
      </c>
      <c r="I7" s="79" t="s">
        <v>66</v>
      </c>
      <c r="J7" s="79" t="s">
        <v>25</v>
      </c>
      <c r="K7" s="79" t="s">
        <v>25</v>
      </c>
    </row>
    <row r="8" spans="1:11" x14ac:dyDescent="0.2">
      <c r="A8" s="74"/>
      <c r="B8" s="74"/>
      <c r="C8" s="74"/>
      <c r="D8" s="74"/>
      <c r="E8" s="74"/>
      <c r="F8" s="74"/>
      <c r="G8" s="76"/>
      <c r="H8" s="75"/>
      <c r="I8" s="74"/>
      <c r="J8" s="74"/>
      <c r="K8" s="74"/>
    </row>
    <row r="9" spans="1:11" s="25" customFormat="1" x14ac:dyDescent="0.2">
      <c r="B9" s="25" t="s">
        <v>56</v>
      </c>
      <c r="D9" s="27"/>
      <c r="F9" s="69">
        <f>SUM(F1:F8)</f>
        <v>41286.230000000003</v>
      </c>
      <c r="G9" s="69">
        <f>SUM(G1:G8)</f>
        <v>40936.82</v>
      </c>
      <c r="H9" s="26"/>
    </row>
    <row r="10" spans="1:11" s="16" customFormat="1" x14ac:dyDescent="0.2">
      <c r="C10" s="17"/>
      <c r="D10" s="18"/>
      <c r="F10" s="70"/>
      <c r="G10" s="70"/>
      <c r="H10" s="17"/>
    </row>
    <row r="11" spans="1:11" x14ac:dyDescent="0.2">
      <c r="A11" t="s">
        <v>4</v>
      </c>
      <c r="C11" s="7">
        <f>SUMIF(A1:A8,A11,G1:G8)</f>
        <v>0</v>
      </c>
    </row>
    <row r="12" spans="1:11" x14ac:dyDescent="0.2">
      <c r="A12" t="s">
        <v>6</v>
      </c>
      <c r="C12" s="7">
        <f>SUMIF(A1:A8,A12,G1:G8)</f>
        <v>0</v>
      </c>
    </row>
    <row r="13" spans="1:11" x14ac:dyDescent="0.2">
      <c r="A13" t="s">
        <v>20</v>
      </c>
      <c r="C13" s="7">
        <f>SUMIF(A1:A8,A13,G1:G8)</f>
        <v>0</v>
      </c>
    </row>
    <row r="14" spans="1:11" x14ac:dyDescent="0.2">
      <c r="A14" t="s">
        <v>25</v>
      </c>
      <c r="C14" s="7">
        <f>SUMIF(A1:A8,A14,G1:G8)</f>
        <v>719.32</v>
      </c>
    </row>
    <row r="15" spans="1:11" x14ac:dyDescent="0.2">
      <c r="A15" t="s">
        <v>54</v>
      </c>
      <c r="C15" s="7">
        <f>SUMIF(A1:A8,A15,G1:G8)</f>
        <v>40217.5</v>
      </c>
    </row>
    <row r="16" spans="1:11" x14ac:dyDescent="0.2">
      <c r="A16" t="s">
        <v>51</v>
      </c>
      <c r="C16" s="7">
        <f>SUMIF(A1:A8,A16,G1:G8)</f>
        <v>0</v>
      </c>
    </row>
    <row r="17" spans="1:8" x14ac:dyDescent="0.2">
      <c r="A17" t="s">
        <v>49</v>
      </c>
      <c r="C17" s="7">
        <f>SUMIF(A1:A8,A17,G1:G8)</f>
        <v>0</v>
      </c>
    </row>
    <row r="18" spans="1:8" x14ac:dyDescent="0.2">
      <c r="A18" t="s">
        <v>59</v>
      </c>
      <c r="C18" s="7">
        <f>SUMIF(A1:A8,A18,G1:G8)</f>
        <v>0</v>
      </c>
    </row>
    <row r="19" spans="1:8" x14ac:dyDescent="0.2">
      <c r="C19" s="7"/>
    </row>
    <row r="20" spans="1:8" s="19" customFormat="1" x14ac:dyDescent="0.2">
      <c r="B20" s="19" t="s">
        <v>56</v>
      </c>
      <c r="C20" s="20">
        <f>SUM(SUM(C11:C19))</f>
        <v>40936.82</v>
      </c>
      <c r="D20" s="21"/>
      <c r="F20" s="50"/>
      <c r="G20" s="50"/>
      <c r="H20" s="20"/>
    </row>
    <row r="21" spans="1:8" x14ac:dyDescent="0.2">
      <c r="C21" s="7">
        <f>C20-G9</f>
        <v>0</v>
      </c>
    </row>
    <row r="22" spans="1:8" x14ac:dyDescent="0.2">
      <c r="C22" s="7"/>
    </row>
    <row r="23" spans="1:8" x14ac:dyDescent="0.2">
      <c r="A23" t="s">
        <v>46</v>
      </c>
      <c r="C23" s="7">
        <f>SUMIF(A1:A8,A23,F1:F8)</f>
        <v>0</v>
      </c>
    </row>
    <row r="24" spans="1:8" x14ac:dyDescent="0.2">
      <c r="A24" t="s">
        <v>47</v>
      </c>
      <c r="C24" s="7">
        <f>SUMIF(A1:A8,A24,F1:F8)</f>
        <v>0</v>
      </c>
    </row>
    <row r="25" spans="1:8" x14ac:dyDescent="0.2">
      <c r="A25" t="s">
        <v>48</v>
      </c>
      <c r="C25" s="7">
        <f>SUMIF(A1:A8,A25,F1:F8)</f>
        <v>0</v>
      </c>
    </row>
    <row r="26" spans="1:8" x14ac:dyDescent="0.2">
      <c r="A26" t="s">
        <v>53</v>
      </c>
      <c r="C26" s="7">
        <f>SUMIF(A1:A8,A26,F1:F8)</f>
        <v>0</v>
      </c>
    </row>
    <row r="27" spans="1:8" x14ac:dyDescent="0.2">
      <c r="A27" t="s">
        <v>57</v>
      </c>
      <c r="C27" s="7">
        <f>SUMIF(A1:A8,A27,F1:F8)</f>
        <v>41286.230000000003</v>
      </c>
    </row>
    <row r="28" spans="1:8" x14ac:dyDescent="0.2">
      <c r="C28" s="7"/>
    </row>
    <row r="29" spans="1:8" s="19" customFormat="1" x14ac:dyDescent="0.2">
      <c r="B29" s="19" t="s">
        <v>56</v>
      </c>
      <c r="C29" s="20">
        <f>SUM(C23:C28)</f>
        <v>41286.230000000003</v>
      </c>
      <c r="D29" s="21"/>
      <c r="F29" s="50"/>
      <c r="G29" s="50"/>
      <c r="H29" s="20"/>
    </row>
    <row r="30" spans="1:8" x14ac:dyDescent="0.2">
      <c r="C30" s="7">
        <f>C29-F9</f>
        <v>0</v>
      </c>
      <c r="D30" s="7"/>
    </row>
  </sheetData>
  <autoFilter ref="A1:K30"/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字段!$B$4:$B$22</xm:f>
          </x14:formula1>
          <xm:sqref>A1:A1048576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字段</vt:lpstr>
      <vt:lpstr>2月银行帐汇总</vt:lpstr>
      <vt:lpstr>建行2月</vt:lpstr>
      <vt:lpstr>光大2月</vt:lpstr>
      <vt:lpstr>平安2月</vt:lpstr>
      <vt:lpstr>民生2月</vt:lpstr>
      <vt:lpstr>工行税户2月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7</dc:creator>
  <cp:lastModifiedBy>Win 7</cp:lastModifiedBy>
  <dcterms:created xsi:type="dcterms:W3CDTF">2025-08-12T06:27:33Z</dcterms:created>
  <dcterms:modified xsi:type="dcterms:W3CDTF">2026-04-01T02:03:56Z</dcterms:modified>
</cp:coreProperties>
</file>